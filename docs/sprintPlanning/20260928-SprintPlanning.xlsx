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#FATEC\ABP\"/>
    </mc:Choice>
  </mc:AlternateContent>
  <xr:revisionPtr revIDLastSave="0" documentId="13_ncr:1_{F6D8FEA4-0FA7-45F7-93F4-69A560F3E6A4}" xr6:coauthVersionLast="47" xr6:coauthVersionMax="47" xr10:uidLastSave="{00000000-0000-0000-0000-000000000000}"/>
  <bookViews>
    <workbookView xWindow="-28920" yWindow="-120" windowWidth="29040" windowHeight="15720" xr2:uid="{E80E6B98-F46D-4B2E-AF05-B62C5DB5861F}"/>
  </bookViews>
  <sheets>
    <sheet name="Backlog" sheetId="1" r:id="rId1"/>
    <sheet name="Sprint01" sheetId="3" r:id="rId2"/>
    <sheet name="Time" sheetId="2" r:id="rId3"/>
  </sheets>
  <definedNames>
    <definedName name="_xlnm._FilterDatabase" localSheetId="0" hidden="1">Backlog!$A$1:$G$102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29" i="1" l="1"/>
  <c r="B26" i="1"/>
  <c r="B27" i="1"/>
  <c r="B31" i="1"/>
  <c r="B32" i="1"/>
  <c r="B28" i="1"/>
  <c r="B39" i="1"/>
  <c r="B34" i="1"/>
  <c r="B35" i="1"/>
  <c r="B36" i="1"/>
  <c r="B37" i="1"/>
  <c r="B43" i="1"/>
  <c r="B46" i="1"/>
  <c r="B52" i="1"/>
  <c r="B48" i="1"/>
  <c r="B49" i="1"/>
  <c r="B50" i="1"/>
  <c r="B56" i="1"/>
  <c r="B54" i="1"/>
  <c r="B53" i="1"/>
  <c r="B62" i="1"/>
  <c r="B57" i="1"/>
  <c r="B58" i="1"/>
  <c r="B63" i="1"/>
  <c r="B60" i="1"/>
  <c r="B59" i="1"/>
  <c r="B65" i="1"/>
  <c r="B72" i="1"/>
  <c r="B73" i="1"/>
  <c r="B67" i="1"/>
  <c r="B68" i="1"/>
  <c r="B70" i="1"/>
  <c r="B69" i="1"/>
  <c r="B74" i="1"/>
  <c r="B80" i="1"/>
  <c r="B81" i="1"/>
  <c r="B82" i="1"/>
  <c r="B83" i="1"/>
  <c r="B84" i="1"/>
  <c r="B85" i="1"/>
  <c r="B86" i="1"/>
  <c r="B87" i="1"/>
  <c r="B88" i="1"/>
  <c r="B91" i="1"/>
  <c r="B92" i="1"/>
  <c r="B23" i="1"/>
  <c r="B24" i="1"/>
  <c r="B21" i="1"/>
  <c r="B22" i="1"/>
  <c r="B19" i="1"/>
  <c r="B16" i="1"/>
  <c r="B17" i="1"/>
  <c r="B15" i="1"/>
  <c r="B14" i="1"/>
  <c r="B11" i="1"/>
  <c r="B12" i="1"/>
  <c r="B10" i="1"/>
  <c r="B9" i="1"/>
  <c r="B6" i="1"/>
  <c r="B7" i="1"/>
  <c r="B95" i="1"/>
  <c r="B96" i="1"/>
  <c r="B97" i="1"/>
  <c r="B98" i="1"/>
  <c r="B99" i="1"/>
  <c r="B100" i="1"/>
  <c r="B101" i="1"/>
  <c r="B102" i="1"/>
  <c r="B94" i="1"/>
  <c r="B76" i="1"/>
  <c r="B77" i="1"/>
  <c r="B78" i="1"/>
  <c r="B79" i="1"/>
  <c r="B89" i="1"/>
  <c r="B90" i="1"/>
  <c r="B93" i="1"/>
  <c r="B75" i="1"/>
  <c r="B13" i="1"/>
  <c r="B18" i="1"/>
  <c r="B20" i="1"/>
  <c r="B25" i="1"/>
  <c r="B30" i="1"/>
  <c r="B33" i="1"/>
  <c r="B38" i="1"/>
  <c r="B40" i="1"/>
  <c r="B41" i="1"/>
  <c r="B42" i="1"/>
  <c r="B44" i="1"/>
  <c r="B45" i="1"/>
  <c r="B47" i="1"/>
  <c r="B51" i="1"/>
  <c r="B55" i="1"/>
  <c r="B61" i="1"/>
  <c r="B64" i="1"/>
  <c r="B66" i="1"/>
  <c r="B71" i="1"/>
  <c r="B8" i="1"/>
</calcChain>
</file>

<file path=xl/sharedStrings.xml><?xml version="1.0" encoding="utf-8"?>
<sst xmlns="http://schemas.openxmlformats.org/spreadsheetml/2006/main" count="705" uniqueCount="253">
  <si>
    <t>RF04: O login deverá ser realizado exclusivamente por meio do CPF e da senha cadastrados.</t>
  </si>
  <si>
    <t>RF15: Cada tema poderá ser respondido apenas uma única vez.</t>
  </si>
  <si>
    <t>RNF01: A interface deverá ser responsiva e compatível com dispositivos móveis.</t>
  </si>
  <si>
    <t>RNF03: Os dados pessoais deverão ser armazenados em conformidade com a LGPD.</t>
  </si>
  <si>
    <t>Funcional</t>
  </si>
  <si>
    <t>Não Funcional</t>
  </si>
  <si>
    <t>RP02: O banco de dados deverá ser PostgreSQL, utilizando comandos DDL e DML.</t>
  </si>
  <si>
    <t>Restrição</t>
  </si>
  <si>
    <t>RF01</t>
  </si>
  <si>
    <t>RF01: O sistema deverá apresentar uma tela inicial contendo a descrição da certificação, seus objetivos e instruções para realização da avaliação.</t>
  </si>
  <si>
    <t>RF02: O candidato poderá optar por iniciar imediatamente a certificação ou retornar posteriormente.</t>
  </si>
  <si>
    <t>RF03: O sistema deverá permitir o cadastro do candidato utilizando CPF (identificador único), nome completo, e-mail e senha.</t>
  </si>
  <si>
    <t>RF05: A certificação deverá ser composta por 12 temas, sendo apresentada uma questão para cada tema.</t>
  </si>
  <si>
    <t>RF06: Cada tema deverá possuir um banco contendo exatamente 4 questões, das quais apenas uma será sorteada aleatoriamente para cada candidato.</t>
  </si>
  <si>
    <t>RF07: O portal deverá disponibilizar uma área de estudos organizada pelos mesmos 12 temas da certificação, contendo conteúdo didático, imagens e demais recursos que auxiliem o candidato na aprendizagem antes da realização da prova.</t>
  </si>
  <si>
    <t>RF08: Todas as questões deverão possuir obrigatoriamente:
 uma imagem ilustrativa ou de análise;
 quatro alternativas (A, B, C e D);
 apenas uma alternativa correta.</t>
  </si>
  <si>
    <t>RF09: Após responder uma questão, o sistema deverá informar ao candidato qual era a alternativa correta.</t>
  </si>
  <si>
    <t>RF10: Cada questão deverá ser apresentada juntamente com um cronômetro regressivo de 150 segundos, visível ao candidato durante toda a resolução.</t>
  </si>
  <si>
    <t>RF11: Ao término do tempo de 150 segundos, caso o candidato não tenha enviado sua resposta, a questão deverá ser encerrada automaticamente, considerada incorreta e o sistema deverá apresentar a alternativa correta antes de prosseguir para o próximo tema ou permitir que o candidato interrompa a certificação.</t>
  </si>
  <si>
    <t>RP09: O escopo do projeto deverá ser compatível com o tempo disponível para desenvolvimento durante o semestre, priorizando um MVP funcional, porém contemplando integralmente o fluxo de certificação descrito neste documento.</t>
  </si>
  <si>
    <t>RP08: O QR Code presente no certificado deverá direcionar para uma página de validação do certificado, permitindo verificar sua autenticidade.</t>
  </si>
  <si>
    <t>RP07: O conteúdo disponibilizado na área de estudos deverá estar organizado pelos mesmos 12 temas da certificação, mantendo coerência entre o material didático apresentado e as questões cadastradas no banco de dados.</t>
  </si>
  <si>
    <t>RP06: Cada tema deverá possuir exatamente quatro questões, e cada questão deverá conter uma imagem associada.</t>
  </si>
  <si>
    <t>RP05: Toda a aplicação deverá ser executada utilizando containers Docker, incluindo, no mínimo, os serviços de aplicação e banco de dados, orquestrados por meio do Docker Compose.</t>
  </si>
  <si>
    <t>RF12: Após cada resposta, o sistema deverá perguntar ao candidato se deseja prosseguir imediatamente para o próximo tema ou encerrar a sessão.</t>
  </si>
  <si>
    <t>RF13: O candidato poderá interromper a certificação a qualquer momento e retomá-la posteriormente a partir do próximo tema ainda não respondido.</t>
  </si>
  <si>
    <t>RF14: Caso ocorra perda de conexão, fechamento do navegador, expiração do tempo da questão ou qualquer outra interrupção durante sua resolução, a questão será considerada encerrada, não podendo ser respondida novamente.</t>
  </si>
  <si>
    <t>RF16: Após a conclusão dos 12 temas, o sistema deverá calcular automaticamente a nota final da certificação.</t>
  </si>
  <si>
    <t>RF17: O sistema deverá emitir automaticamente um certificado eletrônico apenas para os candidatos que obtiverem aproveitamento igual ou superior a 65% na certificação.</t>
  </si>
  <si>
    <t>RF18: O sistema deverá emitir um certificado eletrônico contendo, no mínimo:
 nome completo;
 CPF;
 e-mail;
 data e hora de emissão;
 nota final obtida;
 percentual de acertos;
 QR Code para validação da autenticidade do certificado.</t>
  </si>
  <si>
    <t>RF19: O sistema deverá disponibilizar uma funcionalidade para validação pública do certificado utilizando o QR Code.</t>
  </si>
  <si>
    <t>RF20: O sistema deverá manter o histórico da certificação contendo:
 temas respondidos;
 questão sorteada;
 resposta escolhida;
 resposta correta;
 data e horário de cada resposta.</t>
  </si>
  <si>
    <t>RF21: O sistema deverá permitir que o candidato acompanhe seu progresso na certificação, indicando os temas já concluídos e os ainda pendentes.</t>
  </si>
  <si>
    <t>RNF02: O sistema deverá apresentar tempo de resposta adequado durante o carregamento das páginas e das questões.</t>
  </si>
  <si>
    <t>RNF04: O sistema deverá impedir alterações indevidas na nota da certificação por manipulação do front-end.</t>
  </si>
  <si>
    <t>RNF05: O projeto deverá utilizar práticas básicas de desenvolvimento ágil, incluindo gerenciamento do Product Backlog, planejamento em Sprints, versionamento em Git e utilização de critérios de pronto (Definition of Done).</t>
  </si>
  <si>
    <t>RP04: O sistema deverá armazenar, no mínimo:
 usuários;
 temas;
 questões;
 imagens das questões;
 alternativas;
 respostas dos candidatos;
 certificados;
 histórico da certificação.</t>
  </si>
  <si>
    <t>RP03: O back-end deverá implementar todas as funcionalidades necessárias para comunicação entre o banco de dados e o front-end utilizando tecnologia compatível com aplicações Web modernas.</t>
  </si>
  <si>
    <t>RP01: O front-end deverá ser desenvolvido utilizando HTML, CSS e JavaScript, sem utilização de frameworks.</t>
  </si>
  <si>
    <t>RNF08: A base de questões desenvolvida será considerada parte integrante do projeto e será utilizada como um dos critérios de avaliação, considerando aspectos como qualidade técnica, contextualização, clareza, coerência com o tema e qualidade das imagens utilizadas.</t>
  </si>
  <si>
    <t>RNF07: O sistema deverá ser desenvolvido utilizando arquitetura baseada em containers Docker, permitindo a execução da aplicação por meio do Docker Compose.</t>
  </si>
  <si>
    <t>RNF06: O projeto deverá possuir documentação mínima contendo:
 modelo de dados;
 instruções de instalação;
 documentação da API;
 descrição das funcionalidades implementadas.</t>
  </si>
  <si>
    <t>Tipo</t>
  </si>
  <si>
    <t>Tag</t>
  </si>
  <si>
    <t>Descrição</t>
  </si>
  <si>
    <t>Página html com css com os quadros de texto solicitados</t>
  </si>
  <si>
    <t>Html com javascript iniciar/continuar</t>
  </si>
  <si>
    <t>Página cadastro html, css, javascript</t>
  </si>
  <si>
    <t>Página login html, css, javascript</t>
  </si>
  <si>
    <t>consulta Banco de dados [RF03] (depende da pagina front end)</t>
  </si>
  <si>
    <t>escrita no Banco de dados [RF03] (depende da pagina front end)</t>
  </si>
  <si>
    <t>consulta banco de dados [RF06]: Tema, Questão</t>
  </si>
  <si>
    <t>001</t>
  </si>
  <si>
    <t>002</t>
  </si>
  <si>
    <t>uma pagina com a listagem dos temas para seleção</t>
  </si>
  <si>
    <t>pagina com conteudo do tema selecionado. Opção de voltar para página de seleção de temas</t>
  </si>
  <si>
    <t>uma Página por questão html, css, javascript. Tempo decrescivo (150s), botão confirmar. [RF08]</t>
  </si>
  <si>
    <t>[RF05]</t>
  </si>
  <si>
    <t>uma pagina html css. Botão de pausar e salvar ou prosseguir</t>
  </si>
  <si>
    <t>[RF09]</t>
  </si>
  <si>
    <t>[RF13]</t>
  </si>
  <si>
    <t>javascript para impedir voltar para a questão</t>
  </si>
  <si>
    <t>html e javascript para dar aa qeustão como errada e salvar progresso</t>
  </si>
  <si>
    <t>pagina de conclusão html, css, javascript</t>
  </si>
  <si>
    <t>Modelo logico/fisico</t>
  </si>
  <si>
    <t>pagina html javascript (if/else nota &gt;= 65%) css</t>
  </si>
  <si>
    <t>Página html com imagem do certificado opção de exportar certificado em pdf</t>
  </si>
  <si>
    <t>consulta banco de dados [RF03]</t>
  </si>
  <si>
    <t>Javascript com API de gerador automatico de Qrcode e escrita da hora atual</t>
  </si>
  <si>
    <t>consulta banco de dados (salva progresso) [RF09]</t>
  </si>
  <si>
    <t>página html com mensagem "certificado válido"</t>
  </si>
  <si>
    <t>escreve banco de dados (salva progresso) [RF09] [RF20]</t>
  </si>
  <si>
    <t>[RF07] demonstrar na pagina o progresso dos temas já visualizados</t>
  </si>
  <si>
    <t>html, javascript e css</t>
  </si>
  <si>
    <t>escrita banco de dados [RF21] de temas visuaizados por usuario</t>
  </si>
  <si>
    <t>consulta banco de dados [RF21]</t>
  </si>
  <si>
    <t>RF todos com pagina html</t>
  </si>
  <si>
    <t>Javascript</t>
  </si>
  <si>
    <t>BD javascript com dados anonimizados</t>
  </si>
  <si>
    <t>Javascript codigo de bloqueio front-end</t>
  </si>
  <si>
    <t>Product backlog</t>
  </si>
  <si>
    <t>planejamento sprint</t>
  </si>
  <si>
    <t>git branch e merges</t>
  </si>
  <si>
    <t>criterios de ponto (definition of done</t>
  </si>
  <si>
    <t>Scrum poker</t>
  </si>
  <si>
    <t>intrução de instalçao</t>
  </si>
  <si>
    <t>documentação da api</t>
  </si>
  <si>
    <t>descrição das funcionalidades</t>
  </si>
  <si>
    <t>Ata</t>
  </si>
  <si>
    <t>Entrevista cliente</t>
  </si>
  <si>
    <t>Criar docker</t>
  </si>
  <si>
    <t>instalar funcionalidade</t>
  </si>
  <si>
    <t>instalar API necessários</t>
  </si>
  <si>
    <t>Criar 4 questões para cada um dos 12 temas (IA)</t>
  </si>
  <si>
    <t>ok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</si>
  <si>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</si>
  <si>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</si>
  <si>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</si>
  <si>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</si>
  <si>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</si>
  <si>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</si>
  <si>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</si>
  <si>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</si>
  <si>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</si>
  <si>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</si>
  <si>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</si>
  <si>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</si>
  <si>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</si>
  <si>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</si>
  <si>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</si>
  <si>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</si>
  <si>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</si>
  <si>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</si>
  <si>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</si>
  <si>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</si>
  <si>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</si>
  <si>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</si>
  <si>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</si>
  <si>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</si>
  <si>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</si>
  <si>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</si>
  <si>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</si>
  <si>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</si>
  <si>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</si>
  <si>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</si>
  <si>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</si>
  <si>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</si>
  <si>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</si>
  <si>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</si>
  <si>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</si>
  <si>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</si>
  <si>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</si>
  <si>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</si>
  <si>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</si>
  <si>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</si>
  <si>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</si>
  <si>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</si>
  <si>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</si>
  <si>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</si>
  <si>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</si>
  <si>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</si>
  <si>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</si>
  <si>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</si>
  <si>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</si>
  <si>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</si>
  <si>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</si>
  <si>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</si>
  <si>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</si>
  <si>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</si>
  <si>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</si>
  <si>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</si>
  <si>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</si>
  <si>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</si>
  <si>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</si>
  <si>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</si>
  <si>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</si>
  <si>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</si>
  <si>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</si>
  <si>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</si>
  <si>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</si>
  <si>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</si>
  <si>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</si>
  <si>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</si>
  <si>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</si>
  <si>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</si>
  <si>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</si>
  <si>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</si>
  <si>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</si>
  <si>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</si>
  <si>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</si>
  <si>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</si>
  <si>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</si>
  <si>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</si>
  <si>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</si>
  <si>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</si>
  <si>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</si>
  <si>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</si>
  <si>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</si>
  <si>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</si>
  <si>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</si>
  <si>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</si>
  <si>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</si>
  <si>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</si>
  <si>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</si>
  <si>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RF02</t>
  </si>
  <si>
    <t>RF03</t>
  </si>
  <si>
    <t>RF04</t>
  </si>
  <si>
    <t>Task</t>
  </si>
  <si>
    <t>Task description</t>
  </si>
  <si>
    <t>Página HTML</t>
  </si>
  <si>
    <t>Protótipo FIGMA</t>
  </si>
  <si>
    <t>Diagrama ASTAH</t>
  </si>
  <si>
    <t>Modelagem BD</t>
  </si>
  <si>
    <t>Parâmetro</t>
  </si>
  <si>
    <t>Gestão de projeto</t>
  </si>
  <si>
    <t>Docker</t>
  </si>
  <si>
    <t>Banco de dados</t>
  </si>
  <si>
    <t>Story Points</t>
  </si>
  <si>
    <t>Branch</t>
  </si>
  <si>
    <t>Equipe</t>
  </si>
  <si>
    <t>Nome</t>
  </si>
  <si>
    <t>Função</t>
  </si>
  <si>
    <t>Gabriel da Fonseca Flauzino</t>
  </si>
  <si>
    <t>Project Owner</t>
  </si>
  <si>
    <t>Hector Saiki Colombani de Faria</t>
  </si>
  <si>
    <t>Dev Team</t>
  </si>
  <si>
    <t>Igor Vinicius de Araujo Pece Dos Santos</t>
  </si>
  <si>
    <t>João Vitor Pazzini Theodoro Gama</t>
  </si>
  <si>
    <t>João</t>
  </si>
  <si>
    <t>Lucas Vilas Boas Fukuoka</t>
  </si>
  <si>
    <t>Scrum Master</t>
  </si>
  <si>
    <t>Marcos Antonio Floreano Gonçalves</t>
  </si>
  <si>
    <t>Vitor Souza Leal</t>
  </si>
  <si>
    <t>Responsável</t>
  </si>
  <si>
    <t>Prototipo Figma - Tela Inicial</t>
  </si>
  <si>
    <t>Prototipo Figma - Página de Salvar/Seguir</t>
  </si>
  <si>
    <t>Prototipo Figma - Página de cadastro</t>
  </si>
  <si>
    <t>Prototipo Figma - Página de login</t>
  </si>
  <si>
    <t>Protótipo Figma - Página Questão</t>
  </si>
  <si>
    <t>Protótipo Figma - Página Estudo</t>
  </si>
  <si>
    <t>Protótipo Figma - Página Resposta certa</t>
  </si>
  <si>
    <t>Protótipo Figma - Página Resultado</t>
  </si>
  <si>
    <t>Protótipo Figma - Página Certificado</t>
  </si>
  <si>
    <t>Protótipo Figma - Página Progresso</t>
  </si>
  <si>
    <t>Protótipo Figma - Página Web e Mobile para todas as páginas</t>
  </si>
  <si>
    <t>Diagrama Astah - Página de Salvar/Seguir</t>
  </si>
  <si>
    <t>Diagrama Astah - Tela Inicial</t>
  </si>
  <si>
    <t>Diagrama Astah - Página de cadastro</t>
  </si>
  <si>
    <t>Diagrama Astah - Página de login</t>
  </si>
  <si>
    <t>Diagrama Astah - Página Questão</t>
  </si>
  <si>
    <t>Diagrama Astah - Página Estudo</t>
  </si>
  <si>
    <t>Diagrama Astah - Página Resposta certa</t>
  </si>
  <si>
    <t>Diagrama Astah - Página Resultado</t>
  </si>
  <si>
    <t>Diagrama Astah - Página Certificado</t>
  </si>
  <si>
    <t>Diagrama Astah - Página Progresso</t>
  </si>
  <si>
    <t>Modelo lógico/Físico - Tela Inicial</t>
  </si>
  <si>
    <t>Modelo lógico/Físico - Página de Salvar/Seguir</t>
  </si>
  <si>
    <t>Modelo lógico/Físico - Página de cadastro</t>
  </si>
  <si>
    <t>Modelo lógico/Físico - Página de login</t>
  </si>
  <si>
    <t>Modelo lógico/Físico - Página Questão</t>
  </si>
  <si>
    <t>Modelo lógico/Físico - Página Estudo</t>
  </si>
  <si>
    <t>Modelo logico/fisico - Página Resposta certa</t>
  </si>
  <si>
    <t>Modelo logico/fisico - Página Resultado</t>
  </si>
  <si>
    <t>Modelo logico/fisico - Página Certificado</t>
  </si>
  <si>
    <t>Modelo logico/fisico - Página Progresso</t>
  </si>
  <si>
    <t>RF05</t>
  </si>
  <si>
    <t>RF06</t>
  </si>
  <si>
    <t>RF07</t>
  </si>
  <si>
    <t>RF09</t>
  </si>
  <si>
    <t>RF16</t>
  </si>
  <si>
    <t>RF17</t>
  </si>
  <si>
    <t>RF18</t>
  </si>
  <si>
    <t>RF21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</si>
</sst>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3DAE-34F1-4C69-96A4-B17FC4461521}">
  <dimension ref="A1:G102"/>
  <sheetViews>
    <sheetView tabSelected="1" zoomScale="80" zoomScaleNormal="80" workbookViewId="0"/>
  </sheetViews>
  <sheetFormatPr defaultRowHeight="15" x14ac:dyDescent="0.25"/>
  <cols>
    <col min="1" max="1" width="14.140625" bestFit="1" customWidth="1"/>
    <col min="2" max="2" width="14.140625" customWidth="1"/>
    <col min="3" max="3" width="77.42578125" style="1" customWidth="1"/>
    <col min="4" max="4" width="7.42578125" style="1" customWidth="1"/>
    <col min="5" max="5" width="87.7109375" bestFit="1" customWidth="1"/>
    <col min="6" max="6" width="16.7109375" bestFit="1" customWidth="1"/>
    <col min="7" max="7" width="16.7109375" customWidth="1"/>
  </cols>
  <sheetData>
    <row r="1" spans="1:7" x14ac:dyDescent="0.25">
      <c r="A1" s="5" t="s">
        <v>42</v>
      </c>
      <c r="B1" s="5" t="s">
        <v>43</v>
      </c>
      <c r="C1" s="6" t="s">
        <v>44</v>
      </c>
      <c r="D1" s="6" t="s">
        <v>187</v>
      </c>
      <c r="E1" s="5" t="s">
        <v>188</v>
      </c>
      <c r="F1" s="5" t="s">
        <v>198</v>
      </c>
      <c r="G1" s="5" t="s">
        <v>197</v>
      </c>
    </row>
    <row r="2" spans="1:7" ht="30" x14ac:dyDescent="0.25">
      <c r="A2" s="2" t="s">
        <v>4</v>
      </c>
      <c r="B2" s="2" t="s">
        <v>8</v>
      </c>
      <c r="C2" s="3" t="s">
        <v>9</v>
      </c>
      <c r="D2" s="4" t="s">
        <v>95</v>
      </c>
      <c r="E2" s="2" t="s">
        <v>226</v>
      </c>
      <c r="F2" s="2" t="s">
        <v>191</v>
      </c>
      <c r="G2" s="2">
        <v>2</v>
      </c>
    </row>
    <row r="3" spans="1:7" ht="30" x14ac:dyDescent="0.25">
      <c r="A3" s="2" t="s">
        <v>4</v>
      </c>
      <c r="B3" s="2" t="s">
        <v>8</v>
      </c>
      <c r="C3" s="3" t="s">
        <v>9</v>
      </c>
      <c r="D3" s="4" t="s">
        <v>96</v>
      </c>
      <c r="E3" s="2" t="s">
        <v>235</v>
      </c>
      <c r="F3" s="2" t="s">
        <v>192</v>
      </c>
      <c r="G3" s="2">
        <v>2</v>
      </c>
    </row>
    <row r="4" spans="1:7" ht="30" x14ac:dyDescent="0.25">
      <c r="A4" s="2" t="s">
        <v>4</v>
      </c>
      <c r="B4" s="2" t="s">
        <v>8</v>
      </c>
      <c r="C4" s="3" t="s">
        <v>9</v>
      </c>
      <c r="D4" s="4" t="s">
        <v>52</v>
      </c>
      <c r="E4" s="2" t="s">
        <v>45</v>
      </c>
      <c r="F4" s="2" t="s">
        <v>189</v>
      </c>
      <c r="G4" s="2">
        <v>1</v>
      </c>
    </row>
    <row r="5" spans="1:7" ht="30" x14ac:dyDescent="0.25">
      <c r="A5" s="2" t="s">
        <v>4</v>
      </c>
      <c r="B5" s="2" t="s">
        <v>8</v>
      </c>
      <c r="C5" s="3" t="s">
        <v>9</v>
      </c>
      <c r="D5" s="4" t="s">
        <v>53</v>
      </c>
      <c r="E5" s="2" t="s">
        <v>214</v>
      </c>
      <c r="F5" s="2" t="s">
        <v>190</v>
      </c>
      <c r="G5" s="2">
        <v>1</v>
      </c>
    </row>
    <row r="6" spans="1:7" ht="30" x14ac:dyDescent="0.25">
      <c r="A6" s="2" t="s">
        <v>4</v>
      </c>
      <c r="B6" s="2" t="str">
        <f>MID(C6,1,4)</f>
        <v>RF02</v>
      </c>
      <c r="C6" s="3" t="s">
        <v>10</v>
      </c>
      <c r="D6" s="4" t="s">
        <v>99</v>
      </c>
      <c r="E6" s="2" t="s">
        <v>225</v>
      </c>
      <c r="F6" s="2" t="s">
        <v>191</v>
      </c>
      <c r="G6" s="2">
        <v>2</v>
      </c>
    </row>
    <row r="7" spans="1:7" ht="30" x14ac:dyDescent="0.25">
      <c r="A7" s="2" t="s">
        <v>4</v>
      </c>
      <c r="B7" s="2" t="str">
        <f>MID(C7,1,4)</f>
        <v>RF02</v>
      </c>
      <c r="C7" s="3" t="s">
        <v>10</v>
      </c>
      <c r="D7" s="4" t="s">
        <v>100</v>
      </c>
      <c r="E7" s="2" t="s">
        <v>236</v>
      </c>
      <c r="F7" s="2" t="s">
        <v>192</v>
      </c>
      <c r="G7" s="2">
        <v>2</v>
      </c>
    </row>
    <row r="8" spans="1:7" ht="30" x14ac:dyDescent="0.25">
      <c r="A8" s="2" t="s">
        <v>4</v>
      </c>
      <c r="B8" s="2" t="str">
        <f>MID(C8,1,4)</f>
        <v>RF02</v>
      </c>
      <c r="C8" s="3" t="s">
        <v>10</v>
      </c>
      <c r="D8" s="4" t="s">
        <v>97</v>
      </c>
      <c r="E8" s="2" t="s">
        <v>46</v>
      </c>
      <c r="F8" s="2" t="s">
        <v>189</v>
      </c>
      <c r="G8" s="2">
        <v>2</v>
      </c>
    </row>
    <row r="9" spans="1:7" ht="30" x14ac:dyDescent="0.25">
      <c r="A9" s="2" t="s">
        <v>4</v>
      </c>
      <c r="B9" s="2" t="str">
        <f>MID(C9,1,4)</f>
        <v>RF02</v>
      </c>
      <c r="C9" s="3" t="s">
        <v>10</v>
      </c>
      <c r="D9" s="4" t="s">
        <v>98</v>
      </c>
      <c r="E9" s="2" t="s">
        <v>215</v>
      </c>
      <c r="F9" s="2" t="s">
        <v>190</v>
      </c>
      <c r="G9" s="2">
        <v>1</v>
      </c>
    </row>
    <row r="10" spans="1:7" ht="30" x14ac:dyDescent="0.25">
      <c r="A10" s="2" t="s">
        <v>4</v>
      </c>
      <c r="B10" s="2" t="str">
        <f>MID(C10,1,4)</f>
        <v>RF03</v>
      </c>
      <c r="C10" s="3" t="s">
        <v>11</v>
      </c>
      <c r="D10" s="4" t="s">
        <v>105</v>
      </c>
      <c r="E10" s="2" t="s">
        <v>50</v>
      </c>
      <c r="F10" s="2" t="s">
        <v>196</v>
      </c>
      <c r="G10" s="2"/>
    </row>
    <row r="11" spans="1:7" ht="30" x14ac:dyDescent="0.25">
      <c r="A11" s="2" t="s">
        <v>4</v>
      </c>
      <c r="B11" s="2" t="str">
        <f>MID(C11,1,4)</f>
        <v>RF03</v>
      </c>
      <c r="C11" s="3" t="s">
        <v>11</v>
      </c>
      <c r="D11" s="4" t="s">
        <v>103</v>
      </c>
      <c r="E11" s="2" t="s">
        <v>227</v>
      </c>
      <c r="F11" s="2" t="s">
        <v>191</v>
      </c>
      <c r="G11" s="2"/>
    </row>
    <row r="12" spans="1:7" ht="30" x14ac:dyDescent="0.25">
      <c r="A12" s="2" t="s">
        <v>4</v>
      </c>
      <c r="B12" s="2" t="str">
        <f>MID(C12,1,4)</f>
        <v>RF03</v>
      </c>
      <c r="C12" s="3" t="s">
        <v>11</v>
      </c>
      <c r="D12" s="4" t="s">
        <v>104</v>
      </c>
      <c r="E12" s="2" t="s">
        <v>237</v>
      </c>
      <c r="F12" s="2" t="s">
        <v>192</v>
      </c>
      <c r="G12" s="2"/>
    </row>
    <row r="13" spans="1:7" ht="30" x14ac:dyDescent="0.25">
      <c r="A13" s="2" t="s">
        <v>4</v>
      </c>
      <c r="B13" s="2" t="str">
        <f>MID(C13,1,4)</f>
        <v>RF03</v>
      </c>
      <c r="C13" s="3" t="s">
        <v>11</v>
      </c>
      <c r="D13" s="4" t="s">
        <v>101</v>
      </c>
      <c r="E13" s="2" t="s">
        <v>47</v>
      </c>
      <c r="F13" s="2" t="s">
        <v>189</v>
      </c>
      <c r="G13" s="2">
        <v>2</v>
      </c>
    </row>
    <row r="14" spans="1:7" ht="30" x14ac:dyDescent="0.25">
      <c r="A14" s="2" t="s">
        <v>4</v>
      </c>
      <c r="B14" s="2" t="str">
        <f>MID(C14,1,4)</f>
        <v>RF03</v>
      </c>
      <c r="C14" s="3" t="s">
        <v>11</v>
      </c>
      <c r="D14" s="4" t="s">
        <v>102</v>
      </c>
      <c r="E14" s="2" t="s">
        <v>216</v>
      </c>
      <c r="F14" s="2" t="s">
        <v>190</v>
      </c>
      <c r="G14" s="2"/>
    </row>
    <row r="15" spans="1:7" ht="30" x14ac:dyDescent="0.25">
      <c r="A15" s="2" t="s">
        <v>4</v>
      </c>
      <c r="B15" s="2" t="str">
        <f>MID(C15,1,4)</f>
        <v>RF04</v>
      </c>
      <c r="C15" s="3" t="s">
        <v>0</v>
      </c>
      <c r="D15" s="4" t="s">
        <v>110</v>
      </c>
      <c r="E15" s="2" t="s">
        <v>49</v>
      </c>
      <c r="F15" s="2" t="s">
        <v>196</v>
      </c>
      <c r="G15" s="2"/>
    </row>
    <row r="16" spans="1:7" ht="30" x14ac:dyDescent="0.25">
      <c r="A16" s="2" t="s">
        <v>4</v>
      </c>
      <c r="B16" s="2" t="str">
        <f>MID(C16,1,4)</f>
        <v>RF04</v>
      </c>
      <c r="C16" s="3" t="s">
        <v>0</v>
      </c>
      <c r="D16" s="4" t="s">
        <v>108</v>
      </c>
      <c r="E16" s="2" t="s">
        <v>228</v>
      </c>
      <c r="F16" s="2" t="s">
        <v>191</v>
      </c>
      <c r="G16" s="2"/>
    </row>
    <row r="17" spans="1:7" ht="30" x14ac:dyDescent="0.25">
      <c r="A17" s="2" t="s">
        <v>4</v>
      </c>
      <c r="B17" s="2" t="str">
        <f>MID(C17,1,4)</f>
        <v>RF04</v>
      </c>
      <c r="C17" s="3" t="s">
        <v>0</v>
      </c>
      <c r="D17" s="4" t="s">
        <v>109</v>
      </c>
      <c r="E17" s="2" t="s">
        <v>238</v>
      </c>
      <c r="F17" s="2" t="s">
        <v>192</v>
      </c>
      <c r="G17" s="2"/>
    </row>
    <row r="18" spans="1:7" ht="30" x14ac:dyDescent="0.25">
      <c r="A18" s="2" t="s">
        <v>4</v>
      </c>
      <c r="B18" s="2" t="str">
        <f>MID(C18,1,4)</f>
        <v>RF04</v>
      </c>
      <c r="C18" s="3" t="s">
        <v>0</v>
      </c>
      <c r="D18" s="4" t="s">
        <v>106</v>
      </c>
      <c r="E18" s="2" t="s">
        <v>48</v>
      </c>
      <c r="F18" s="2" t="s">
        <v>189</v>
      </c>
      <c r="G18" s="2"/>
    </row>
    <row r="19" spans="1:7" ht="30" x14ac:dyDescent="0.25">
      <c r="A19" s="2" t="s">
        <v>4</v>
      </c>
      <c r="B19" s="2" t="str">
        <f>MID(C19,1,4)</f>
        <v>RF04</v>
      </c>
      <c r="C19" s="3" t="s">
        <v>0</v>
      </c>
      <c r="D19" s="4" t="s">
        <v>107</v>
      </c>
      <c r="E19" s="2" t="s">
        <v>217</v>
      </c>
      <c r="F19" s="2" t="s">
        <v>190</v>
      </c>
      <c r="G19" s="2"/>
    </row>
    <row r="20" spans="1:7" ht="30" x14ac:dyDescent="0.25">
      <c r="A20" s="2" t="s">
        <v>4</v>
      </c>
      <c r="B20" s="2" t="str">
        <f>MID(C20,1,4)</f>
        <v>RF05</v>
      </c>
      <c r="C20" s="3" t="s">
        <v>12</v>
      </c>
      <c r="D20" s="4" t="s">
        <v>111</v>
      </c>
      <c r="E20" s="2" t="s">
        <v>51</v>
      </c>
      <c r="F20" s="2" t="s">
        <v>196</v>
      </c>
      <c r="G20" s="2"/>
    </row>
    <row r="21" spans="1:7" ht="30" x14ac:dyDescent="0.25">
      <c r="A21" s="2" t="s">
        <v>4</v>
      </c>
      <c r="B21" s="2" t="str">
        <f>MID(C21,1,4)</f>
        <v>RF05</v>
      </c>
      <c r="C21" s="3" t="s">
        <v>12</v>
      </c>
      <c r="D21" s="4" t="s">
        <v>114</v>
      </c>
      <c r="E21" s="2" t="s">
        <v>229</v>
      </c>
      <c r="F21" s="2" t="s">
        <v>191</v>
      </c>
      <c r="G21" s="2"/>
    </row>
    <row r="22" spans="1:7" ht="30" x14ac:dyDescent="0.25">
      <c r="A22" s="2" t="s">
        <v>4</v>
      </c>
      <c r="B22" s="2" t="str">
        <f>MID(C22,1,4)</f>
        <v>RF05</v>
      </c>
      <c r="C22" s="3" t="s">
        <v>12</v>
      </c>
      <c r="D22" s="4" t="s">
        <v>115</v>
      </c>
      <c r="E22" s="2" t="s">
        <v>239</v>
      </c>
      <c r="F22" s="2" t="s">
        <v>192</v>
      </c>
      <c r="G22" s="2"/>
    </row>
    <row r="23" spans="1:7" ht="30" x14ac:dyDescent="0.25">
      <c r="A23" s="2" t="s">
        <v>4</v>
      </c>
      <c r="B23" s="2" t="str">
        <f>MID(C23,1,4)</f>
        <v>RF05</v>
      </c>
      <c r="C23" s="3" t="s">
        <v>12</v>
      </c>
      <c r="D23" s="4" t="s">
        <v>112</v>
      </c>
      <c r="E23" s="2" t="s">
        <v>56</v>
      </c>
      <c r="F23" s="2" t="s">
        <v>189</v>
      </c>
      <c r="G23" s="2"/>
    </row>
    <row r="24" spans="1:7" ht="30" x14ac:dyDescent="0.25">
      <c r="A24" s="2" t="s">
        <v>4</v>
      </c>
      <c r="B24" s="2" t="str">
        <f>MID(C24,1,4)</f>
        <v>RF05</v>
      </c>
      <c r="C24" s="3" t="s">
        <v>12</v>
      </c>
      <c r="D24" s="4" t="s">
        <v>113</v>
      </c>
      <c r="E24" s="2" t="s">
        <v>218</v>
      </c>
      <c r="F24" s="2" t="s">
        <v>190</v>
      </c>
      <c r="G24" s="2"/>
    </row>
    <row r="25" spans="1:7" ht="30" x14ac:dyDescent="0.25">
      <c r="A25" s="2" t="s">
        <v>4</v>
      </c>
      <c r="B25" s="2" t="str">
        <f>MID(C25,1,4)</f>
        <v>RF06</v>
      </c>
      <c r="C25" s="3" t="s">
        <v>13</v>
      </c>
      <c r="D25" s="4" t="s">
        <v>116</v>
      </c>
      <c r="E25" s="2" t="s">
        <v>51</v>
      </c>
      <c r="F25" s="2" t="s">
        <v>196</v>
      </c>
      <c r="G25" s="2"/>
    </row>
    <row r="26" spans="1:7" ht="30" x14ac:dyDescent="0.25">
      <c r="A26" s="2" t="s">
        <v>4</v>
      </c>
      <c r="B26" s="2" t="str">
        <f>MID(C26,1,4)</f>
        <v>RF06</v>
      </c>
      <c r="C26" s="3" t="s">
        <v>13</v>
      </c>
      <c r="D26" s="4" t="s">
        <v>117</v>
      </c>
      <c r="E26" s="2" t="s">
        <v>229</v>
      </c>
      <c r="F26" s="2" t="s">
        <v>191</v>
      </c>
      <c r="G26" s="2"/>
    </row>
    <row r="27" spans="1:7" ht="30" x14ac:dyDescent="0.25">
      <c r="A27" s="2" t="s">
        <v>4</v>
      </c>
      <c r="B27" s="2" t="str">
        <f>MID(C27,1,4)</f>
        <v>RF06</v>
      </c>
      <c r="C27" s="3" t="s">
        <v>13</v>
      </c>
      <c r="D27" s="4" t="s">
        <v>118</v>
      </c>
      <c r="E27" s="2" t="s">
        <v>239</v>
      </c>
      <c r="F27" s="2" t="s">
        <v>192</v>
      </c>
      <c r="G27" s="2"/>
    </row>
    <row r="28" spans="1:7" ht="45" x14ac:dyDescent="0.25">
      <c r="A28" s="2" t="s">
        <v>4</v>
      </c>
      <c r="B28" s="2" t="str">
        <f>MID(C28,1,4)</f>
        <v>RF07</v>
      </c>
      <c r="C28" s="3" t="s">
        <v>14</v>
      </c>
      <c r="D28" s="4" t="s">
        <v>122</v>
      </c>
      <c r="E28" s="2" t="s">
        <v>230</v>
      </c>
      <c r="F28" s="2" t="s">
        <v>191</v>
      </c>
      <c r="G28" s="2"/>
    </row>
    <row r="29" spans="1:7" ht="45" x14ac:dyDescent="0.25">
      <c r="A29" s="2" t="s">
        <v>4</v>
      </c>
      <c r="B29" s="2" t="str">
        <f>MID(C29,1,4)</f>
        <v>RF07</v>
      </c>
      <c r="C29" s="3" t="s">
        <v>14</v>
      </c>
      <c r="D29" s="4"/>
      <c r="E29" s="2" t="s">
        <v>240</v>
      </c>
      <c r="F29" s="2" t="s">
        <v>192</v>
      </c>
      <c r="G29" s="2"/>
    </row>
    <row r="30" spans="1:7" ht="45" x14ac:dyDescent="0.25">
      <c r="A30" s="2" t="s">
        <v>4</v>
      </c>
      <c r="B30" s="2" t="str">
        <f>MID(C30,1,4)</f>
        <v>RF07</v>
      </c>
      <c r="C30" s="3" t="s">
        <v>14</v>
      </c>
      <c r="D30" s="4" t="s">
        <v>119</v>
      </c>
      <c r="E30" s="2" t="s">
        <v>54</v>
      </c>
      <c r="F30" s="2" t="s">
        <v>189</v>
      </c>
      <c r="G30" s="2"/>
    </row>
    <row r="31" spans="1:7" ht="45" x14ac:dyDescent="0.25">
      <c r="A31" s="2" t="s">
        <v>4</v>
      </c>
      <c r="B31" s="2" t="str">
        <f>MID(C31,1,4)</f>
        <v>RF07</v>
      </c>
      <c r="C31" s="3" t="s">
        <v>14</v>
      </c>
      <c r="D31" s="4" t="s">
        <v>120</v>
      </c>
      <c r="E31" s="2" t="s">
        <v>55</v>
      </c>
      <c r="F31" s="2" t="s">
        <v>189</v>
      </c>
      <c r="G31" s="2"/>
    </row>
    <row r="32" spans="1:7" ht="45" x14ac:dyDescent="0.25">
      <c r="A32" s="2" t="s">
        <v>4</v>
      </c>
      <c r="B32" s="2" t="str">
        <f>MID(C32,1,4)</f>
        <v>RF07</v>
      </c>
      <c r="C32" s="3" t="s">
        <v>14</v>
      </c>
      <c r="D32" s="4" t="s">
        <v>121</v>
      </c>
      <c r="E32" s="2" t="s">
        <v>219</v>
      </c>
      <c r="F32" s="2" t="s">
        <v>190</v>
      </c>
      <c r="G32" s="2"/>
    </row>
    <row r="33" spans="1:7" ht="60" x14ac:dyDescent="0.25">
      <c r="A33" s="2" t="s">
        <v>4</v>
      </c>
      <c r="B33" s="2" t="str">
        <f>MID(C33,1,4)</f>
        <v>RF08</v>
      </c>
      <c r="C33" s="3" t="s">
        <v>15</v>
      </c>
      <c r="D33" s="4" t="s">
        <v>123</v>
      </c>
      <c r="E33" s="2" t="s">
        <v>57</v>
      </c>
      <c r="F33" s="2" t="s">
        <v>193</v>
      </c>
      <c r="G33" s="2"/>
    </row>
    <row r="34" spans="1:7" ht="30" x14ac:dyDescent="0.25">
      <c r="A34" s="2" t="s">
        <v>4</v>
      </c>
      <c r="B34" s="2" t="str">
        <f>MID(C34,1,4)</f>
        <v>RF09</v>
      </c>
      <c r="C34" s="3" t="s">
        <v>16</v>
      </c>
      <c r="D34" s="4" t="s">
        <v>126</v>
      </c>
      <c r="E34" s="2" t="s">
        <v>51</v>
      </c>
      <c r="F34" s="2" t="s">
        <v>196</v>
      </c>
      <c r="G34" s="2"/>
    </row>
    <row r="35" spans="1:7" ht="30" x14ac:dyDescent="0.25">
      <c r="A35" s="2" t="s">
        <v>4</v>
      </c>
      <c r="B35" s="2" t="str">
        <f>MID(C35,1,4)</f>
        <v>RF09</v>
      </c>
      <c r="C35" s="3" t="s">
        <v>16</v>
      </c>
      <c r="D35" s="4" t="s">
        <v>127</v>
      </c>
      <c r="E35" s="2" t="s">
        <v>71</v>
      </c>
      <c r="F35" s="2" t="s">
        <v>196</v>
      </c>
      <c r="G35" s="2"/>
    </row>
    <row r="36" spans="1:7" ht="30" x14ac:dyDescent="0.25">
      <c r="A36" s="2" t="s">
        <v>4</v>
      </c>
      <c r="B36" s="2" t="str">
        <f>MID(C36,1,4)</f>
        <v>RF09</v>
      </c>
      <c r="C36" s="3" t="s">
        <v>16</v>
      </c>
      <c r="D36" s="4" t="s">
        <v>128</v>
      </c>
      <c r="E36" s="2" t="s">
        <v>231</v>
      </c>
      <c r="F36" s="2" t="s">
        <v>191</v>
      </c>
      <c r="G36" s="2"/>
    </row>
    <row r="37" spans="1:7" ht="30" x14ac:dyDescent="0.25">
      <c r="A37" s="2" t="s">
        <v>4</v>
      </c>
      <c r="B37" s="2" t="str">
        <f>MID(C37,1,4)</f>
        <v>RF09</v>
      </c>
      <c r="C37" s="3" t="s">
        <v>16</v>
      </c>
      <c r="D37" s="4" t="s">
        <v>129</v>
      </c>
      <c r="E37" s="2" t="s">
        <v>241</v>
      </c>
      <c r="F37" s="2" t="s">
        <v>192</v>
      </c>
      <c r="G37" s="2"/>
    </row>
    <row r="38" spans="1:7" ht="30" x14ac:dyDescent="0.25">
      <c r="A38" s="2" t="s">
        <v>4</v>
      </c>
      <c r="B38" s="2" t="str">
        <f>MID(C38,1,4)</f>
        <v>RF09</v>
      </c>
      <c r="C38" s="3" t="s">
        <v>16</v>
      </c>
      <c r="D38" s="4" t="s">
        <v>124</v>
      </c>
      <c r="E38" s="2" t="s">
        <v>58</v>
      </c>
      <c r="F38" s="2" t="s">
        <v>189</v>
      </c>
      <c r="G38" s="2"/>
    </row>
    <row r="39" spans="1:7" ht="30" x14ac:dyDescent="0.25">
      <c r="A39" s="2" t="s">
        <v>4</v>
      </c>
      <c r="B39" s="2" t="str">
        <f>MID(C39,1,4)</f>
        <v>RF09</v>
      </c>
      <c r="C39" s="3" t="s">
        <v>16</v>
      </c>
      <c r="D39" s="4" t="s">
        <v>125</v>
      </c>
      <c r="E39" s="2" t="s">
        <v>220</v>
      </c>
      <c r="F39" s="2" t="s">
        <v>190</v>
      </c>
      <c r="G39" s="2"/>
    </row>
    <row r="40" spans="1:7" ht="30" x14ac:dyDescent="0.25">
      <c r="A40" s="2" t="s">
        <v>4</v>
      </c>
      <c r="B40" s="2" t="str">
        <f>MID(C40,1,4)</f>
        <v>RF10</v>
      </c>
      <c r="C40" s="3" t="s">
        <v>17</v>
      </c>
      <c r="D40" s="4" t="s">
        <v>130</v>
      </c>
      <c r="E40" s="2" t="s">
        <v>57</v>
      </c>
      <c r="F40" s="2" t="s">
        <v>193</v>
      </c>
      <c r="G40" s="2"/>
    </row>
    <row r="41" spans="1:7" ht="60" x14ac:dyDescent="0.25">
      <c r="A41" s="2" t="s">
        <v>4</v>
      </c>
      <c r="B41" s="2" t="str">
        <f>MID(C41,1,4)</f>
        <v>RF11</v>
      </c>
      <c r="C41" s="3" t="s">
        <v>18</v>
      </c>
      <c r="D41" s="4" t="s">
        <v>131</v>
      </c>
      <c r="E41" s="2" t="s">
        <v>59</v>
      </c>
      <c r="F41" s="2" t="s">
        <v>193</v>
      </c>
      <c r="G41" s="2"/>
    </row>
    <row r="42" spans="1:7" ht="30" x14ac:dyDescent="0.25">
      <c r="A42" s="2" t="s">
        <v>4</v>
      </c>
      <c r="B42" s="2" t="str">
        <f>MID(C42,1,4)</f>
        <v>RF12</v>
      </c>
      <c r="C42" s="3" t="s">
        <v>24</v>
      </c>
      <c r="D42" s="4" t="s">
        <v>132</v>
      </c>
      <c r="E42" s="2" t="s">
        <v>59</v>
      </c>
      <c r="F42" s="2" t="s">
        <v>193</v>
      </c>
      <c r="G42" s="2"/>
    </row>
    <row r="43" spans="1:7" ht="30" x14ac:dyDescent="0.25">
      <c r="A43" s="2" t="s">
        <v>4</v>
      </c>
      <c r="B43" s="2" t="str">
        <f>MID(C43,1,4)</f>
        <v>RF13</v>
      </c>
      <c r="C43" s="3" t="s">
        <v>25</v>
      </c>
      <c r="D43" s="4" t="s">
        <v>134</v>
      </c>
      <c r="E43" s="2" t="s">
        <v>62</v>
      </c>
      <c r="F43" s="2" t="s">
        <v>189</v>
      </c>
      <c r="G43" s="2"/>
    </row>
    <row r="44" spans="1:7" ht="30" x14ac:dyDescent="0.25">
      <c r="A44" s="2" t="s">
        <v>4</v>
      </c>
      <c r="B44" s="2" t="str">
        <f>MID(C44,1,4)</f>
        <v>RF13</v>
      </c>
      <c r="C44" s="3" t="s">
        <v>25</v>
      </c>
      <c r="D44" s="4" t="s">
        <v>133</v>
      </c>
      <c r="E44" s="2" t="s">
        <v>59</v>
      </c>
      <c r="F44" s="2" t="s">
        <v>193</v>
      </c>
      <c r="G44" s="2"/>
    </row>
    <row r="45" spans="1:7" ht="45" x14ac:dyDescent="0.25">
      <c r="A45" s="2" t="s">
        <v>4</v>
      </c>
      <c r="B45" s="2" t="str">
        <f>MID(C45,1,4)</f>
        <v>RF14</v>
      </c>
      <c r="C45" s="3" t="s">
        <v>26</v>
      </c>
      <c r="D45" s="4" t="s">
        <v>135</v>
      </c>
      <c r="E45" s="2" t="s">
        <v>60</v>
      </c>
      <c r="F45" s="2" t="s">
        <v>193</v>
      </c>
      <c r="G45" s="2"/>
    </row>
    <row r="46" spans="1:7" x14ac:dyDescent="0.25">
      <c r="A46" s="2" t="s">
        <v>4</v>
      </c>
      <c r="B46" s="2" t="str">
        <f>MID(C46,1,4)</f>
        <v>RF15</v>
      </c>
      <c r="C46" s="3" t="s">
        <v>1</v>
      </c>
      <c r="D46" s="4" t="s">
        <v>137</v>
      </c>
      <c r="E46" s="2" t="s">
        <v>61</v>
      </c>
      <c r="F46" s="2" t="s">
        <v>189</v>
      </c>
      <c r="G46" s="2"/>
    </row>
    <row r="47" spans="1:7" x14ac:dyDescent="0.25">
      <c r="A47" s="2" t="s">
        <v>4</v>
      </c>
      <c r="B47" s="2" t="str">
        <f>MID(C47,1,4)</f>
        <v>RF15</v>
      </c>
      <c r="C47" s="3" t="s">
        <v>1</v>
      </c>
      <c r="D47" s="4" t="s">
        <v>136</v>
      </c>
      <c r="E47" s="2" t="s">
        <v>59</v>
      </c>
      <c r="F47" s="2" t="s">
        <v>193</v>
      </c>
      <c r="G47" s="2"/>
    </row>
    <row r="48" spans="1:7" ht="30" x14ac:dyDescent="0.25">
      <c r="A48" s="2" t="s">
        <v>4</v>
      </c>
      <c r="B48" s="2" t="str">
        <f>MID(C48,1,4)</f>
        <v>RF16</v>
      </c>
      <c r="C48" s="3" t="s">
        <v>27</v>
      </c>
      <c r="D48" s="4" t="s">
        <v>140</v>
      </c>
      <c r="E48" s="2" t="s">
        <v>69</v>
      </c>
      <c r="F48" s="2" t="s">
        <v>196</v>
      </c>
      <c r="G48" s="2"/>
    </row>
    <row r="49" spans="1:7" ht="30" x14ac:dyDescent="0.25">
      <c r="A49" s="2" t="s">
        <v>4</v>
      </c>
      <c r="B49" s="2" t="str">
        <f>MID(C49,1,4)</f>
        <v>RF16</v>
      </c>
      <c r="C49" s="3" t="s">
        <v>27</v>
      </c>
      <c r="D49" s="4" t="s">
        <v>141</v>
      </c>
      <c r="E49" s="2" t="s">
        <v>232</v>
      </c>
      <c r="F49" s="2" t="s">
        <v>191</v>
      </c>
      <c r="G49" s="2"/>
    </row>
    <row r="50" spans="1:7" ht="30" x14ac:dyDescent="0.25">
      <c r="A50" s="2" t="s">
        <v>4</v>
      </c>
      <c r="B50" s="2" t="str">
        <f>MID(C50,1,4)</f>
        <v>RF16</v>
      </c>
      <c r="C50" s="3" t="s">
        <v>27</v>
      </c>
      <c r="D50" s="4" t="s">
        <v>142</v>
      </c>
      <c r="E50" s="2" t="s">
        <v>242</v>
      </c>
      <c r="F50" s="2" t="s">
        <v>192</v>
      </c>
      <c r="G50" s="2"/>
    </row>
    <row r="51" spans="1:7" ht="30" x14ac:dyDescent="0.25">
      <c r="A51" s="2" t="s">
        <v>4</v>
      </c>
      <c r="B51" s="2" t="str">
        <f>MID(C51,1,4)</f>
        <v>RF16</v>
      </c>
      <c r="C51" s="3" t="s">
        <v>27</v>
      </c>
      <c r="D51" s="4" t="s">
        <v>138</v>
      </c>
      <c r="E51" s="2" t="s">
        <v>63</v>
      </c>
      <c r="F51" s="2" t="s">
        <v>189</v>
      </c>
      <c r="G51" s="2"/>
    </row>
    <row r="52" spans="1:7" ht="30" x14ac:dyDescent="0.25">
      <c r="A52" s="2" t="s">
        <v>4</v>
      </c>
      <c r="B52" s="2" t="str">
        <f>MID(C52,1,4)</f>
        <v>RF16</v>
      </c>
      <c r="C52" s="3" t="s">
        <v>27</v>
      </c>
      <c r="D52" s="4" t="s">
        <v>139</v>
      </c>
      <c r="E52" s="2" t="s">
        <v>221</v>
      </c>
      <c r="F52" s="2" t="s">
        <v>190</v>
      </c>
      <c r="G52" s="2"/>
    </row>
    <row r="53" spans="1:7" ht="45" x14ac:dyDescent="0.25">
      <c r="A53" s="2" t="s">
        <v>4</v>
      </c>
      <c r="B53" s="2" t="str">
        <f>MID(C53,1,4)</f>
        <v>RF17</v>
      </c>
      <c r="C53" s="3" t="s">
        <v>28</v>
      </c>
      <c r="D53" s="4" t="s">
        <v>146</v>
      </c>
      <c r="E53" s="2" t="s">
        <v>233</v>
      </c>
      <c r="F53" s="2" t="s">
        <v>191</v>
      </c>
      <c r="G53" s="2"/>
    </row>
    <row r="54" spans="1:7" ht="45" x14ac:dyDescent="0.25">
      <c r="A54" s="2" t="s">
        <v>4</v>
      </c>
      <c r="B54" s="2" t="str">
        <f>MID(C54,1,4)</f>
        <v>RF17</v>
      </c>
      <c r="C54" s="3" t="s">
        <v>28</v>
      </c>
      <c r="D54" s="4" t="s">
        <v>145</v>
      </c>
      <c r="E54" s="2" t="s">
        <v>243</v>
      </c>
      <c r="F54" s="2" t="s">
        <v>192</v>
      </c>
      <c r="G54" s="2"/>
    </row>
    <row r="55" spans="1:7" ht="45" x14ac:dyDescent="0.25">
      <c r="A55" s="2" t="s">
        <v>4</v>
      </c>
      <c r="B55" s="2" t="str">
        <f>MID(C55,1,4)</f>
        <v>RF17</v>
      </c>
      <c r="C55" s="3" t="s">
        <v>28</v>
      </c>
      <c r="D55" s="4" t="s">
        <v>143</v>
      </c>
      <c r="E55" s="2" t="s">
        <v>65</v>
      </c>
      <c r="F55" s="2" t="s">
        <v>189</v>
      </c>
      <c r="G55" s="2"/>
    </row>
    <row r="56" spans="1:7" ht="45" x14ac:dyDescent="0.25">
      <c r="A56" s="2" t="s">
        <v>4</v>
      </c>
      <c r="B56" s="2" t="str">
        <f>MID(C56,1,4)</f>
        <v>RF17</v>
      </c>
      <c r="C56" s="3" t="s">
        <v>28</v>
      </c>
      <c r="D56" s="4" t="s">
        <v>144</v>
      </c>
      <c r="E56" s="2" t="s">
        <v>222</v>
      </c>
      <c r="F56" s="2" t="s">
        <v>190</v>
      </c>
      <c r="G56" s="2"/>
    </row>
    <row r="57" spans="1:7" ht="120" x14ac:dyDescent="0.25">
      <c r="A57" s="2" t="s">
        <v>4</v>
      </c>
      <c r="B57" s="2" t="str">
        <f>MID(C57,1,4)</f>
        <v>RF18</v>
      </c>
      <c r="C57" s="3" t="s">
        <v>29</v>
      </c>
      <c r="D57" s="4" t="s">
        <v>149</v>
      </c>
      <c r="E57" s="2" t="s">
        <v>69</v>
      </c>
      <c r="F57" s="2" t="s">
        <v>196</v>
      </c>
      <c r="G57" s="2"/>
    </row>
    <row r="58" spans="1:7" ht="120" x14ac:dyDescent="0.25">
      <c r="A58" s="2" t="s">
        <v>4</v>
      </c>
      <c r="B58" s="2" t="str">
        <f>MID(C58,1,4)</f>
        <v>RF18</v>
      </c>
      <c r="C58" s="3" t="s">
        <v>29</v>
      </c>
      <c r="D58" s="4" t="s">
        <v>150</v>
      </c>
      <c r="E58" s="2" t="s">
        <v>67</v>
      </c>
      <c r="F58" s="2" t="s">
        <v>196</v>
      </c>
      <c r="G58" s="2"/>
    </row>
    <row r="59" spans="1:7" ht="120" x14ac:dyDescent="0.25">
      <c r="A59" s="2" t="s">
        <v>4</v>
      </c>
      <c r="B59" s="2" t="str">
        <f>MID(C59,1,4)</f>
        <v>RF18</v>
      </c>
      <c r="C59" s="3" t="s">
        <v>29</v>
      </c>
      <c r="D59" s="4" t="s">
        <v>153</v>
      </c>
      <c r="E59" s="2" t="s">
        <v>233</v>
      </c>
      <c r="F59" s="2" t="s">
        <v>191</v>
      </c>
      <c r="G59" s="2"/>
    </row>
    <row r="60" spans="1:7" ht="120" x14ac:dyDescent="0.25">
      <c r="A60" s="2" t="s">
        <v>4</v>
      </c>
      <c r="B60" s="2" t="str">
        <f>MID(C60,1,4)</f>
        <v>RF18</v>
      </c>
      <c r="C60" s="3" t="s">
        <v>29</v>
      </c>
      <c r="D60" s="4" t="s">
        <v>152</v>
      </c>
      <c r="E60" s="2" t="s">
        <v>243</v>
      </c>
      <c r="F60" s="2" t="s">
        <v>192</v>
      </c>
      <c r="G60" s="2"/>
    </row>
    <row r="61" spans="1:7" ht="120" x14ac:dyDescent="0.25">
      <c r="A61" s="2" t="s">
        <v>4</v>
      </c>
      <c r="B61" s="2" t="str">
        <f>MID(C61,1,4)</f>
        <v>RF18</v>
      </c>
      <c r="C61" s="3" t="s">
        <v>29</v>
      </c>
      <c r="D61" s="4" t="s">
        <v>147</v>
      </c>
      <c r="E61" s="2" t="s">
        <v>68</v>
      </c>
      <c r="F61" s="2" t="s">
        <v>189</v>
      </c>
      <c r="G61" s="2"/>
    </row>
    <row r="62" spans="1:7" ht="120" x14ac:dyDescent="0.25">
      <c r="A62" s="2" t="s">
        <v>4</v>
      </c>
      <c r="B62" s="2" t="str">
        <f>MID(C62,1,4)</f>
        <v>RF18</v>
      </c>
      <c r="C62" s="3" t="s">
        <v>29</v>
      </c>
      <c r="D62" s="4" t="s">
        <v>148</v>
      </c>
      <c r="E62" s="2" t="s">
        <v>66</v>
      </c>
      <c r="F62" s="2" t="s">
        <v>189</v>
      </c>
      <c r="G62" s="2"/>
    </row>
    <row r="63" spans="1:7" ht="120" x14ac:dyDescent="0.25">
      <c r="A63" s="2" t="s">
        <v>4</v>
      </c>
      <c r="B63" s="2" t="str">
        <f>MID(C63,1,4)</f>
        <v>RF18</v>
      </c>
      <c r="C63" s="3" t="s">
        <v>29</v>
      </c>
      <c r="D63" s="4" t="s">
        <v>151</v>
      </c>
      <c r="E63" s="2" t="s">
        <v>222</v>
      </c>
      <c r="F63" s="2" t="s">
        <v>190</v>
      </c>
      <c r="G63" s="2"/>
    </row>
    <row r="64" spans="1:7" ht="30" x14ac:dyDescent="0.25">
      <c r="A64" s="2" t="s">
        <v>4</v>
      </c>
      <c r="B64" s="2" t="str">
        <f>MID(C64,1,4)</f>
        <v>RF19</v>
      </c>
      <c r="C64" s="3" t="s">
        <v>30</v>
      </c>
      <c r="D64" s="4" t="s">
        <v>154</v>
      </c>
      <c r="E64" s="2" t="s">
        <v>69</v>
      </c>
      <c r="F64" s="2" t="s">
        <v>196</v>
      </c>
      <c r="G64" s="2"/>
    </row>
    <row r="65" spans="1:7" ht="30" x14ac:dyDescent="0.25">
      <c r="A65" s="2" t="s">
        <v>4</v>
      </c>
      <c r="B65" s="2" t="str">
        <f>MID(C65,1,4)</f>
        <v>RF19</v>
      </c>
      <c r="C65" s="3" t="s">
        <v>30</v>
      </c>
      <c r="D65" s="4" t="s">
        <v>155</v>
      </c>
      <c r="E65" s="2" t="s">
        <v>70</v>
      </c>
      <c r="F65" s="2" t="s">
        <v>189</v>
      </c>
      <c r="G65" s="2"/>
    </row>
    <row r="66" spans="1:7" ht="90" x14ac:dyDescent="0.25">
      <c r="A66" s="2" t="s">
        <v>4</v>
      </c>
      <c r="B66" s="2" t="str">
        <f>MID(C66,1,4)</f>
        <v>RF20</v>
      </c>
      <c r="C66" s="3" t="s">
        <v>31</v>
      </c>
      <c r="D66" s="4" t="s">
        <v>156</v>
      </c>
      <c r="E66" s="2" t="s">
        <v>59</v>
      </c>
      <c r="F66" s="2" t="s">
        <v>193</v>
      </c>
      <c r="G66" s="2"/>
    </row>
    <row r="67" spans="1:7" ht="30" x14ac:dyDescent="0.25">
      <c r="A67" s="2" t="s">
        <v>4</v>
      </c>
      <c r="B67" s="2" t="str">
        <f>MID(C67,1,4)</f>
        <v>RF21</v>
      </c>
      <c r="C67" s="3" t="s">
        <v>32</v>
      </c>
      <c r="D67" s="4" t="s">
        <v>160</v>
      </c>
      <c r="E67" s="2" t="s">
        <v>74</v>
      </c>
      <c r="F67" s="2" t="s">
        <v>196</v>
      </c>
      <c r="G67" s="2"/>
    </row>
    <row r="68" spans="1:7" ht="30" x14ac:dyDescent="0.25">
      <c r="A68" s="2" t="s">
        <v>4</v>
      </c>
      <c r="B68" s="2" t="str">
        <f>MID(C68,1,4)</f>
        <v>RF21</v>
      </c>
      <c r="C68" s="3" t="s">
        <v>32</v>
      </c>
      <c r="D68" s="4" t="s">
        <v>161</v>
      </c>
      <c r="E68" s="2" t="s">
        <v>75</v>
      </c>
      <c r="F68" s="2" t="s">
        <v>196</v>
      </c>
      <c r="G68" s="2"/>
    </row>
    <row r="69" spans="1:7" ht="30" x14ac:dyDescent="0.25">
      <c r="A69" s="2" t="s">
        <v>4</v>
      </c>
      <c r="B69" s="2" t="str">
        <f>MID(C69,1,4)</f>
        <v>RF21</v>
      </c>
      <c r="C69" s="3" t="s">
        <v>32</v>
      </c>
      <c r="D69" s="4" t="s">
        <v>163</v>
      </c>
      <c r="E69" s="2" t="s">
        <v>234</v>
      </c>
      <c r="F69" s="2" t="s">
        <v>191</v>
      </c>
      <c r="G69" s="2"/>
    </row>
    <row r="70" spans="1:7" ht="30" x14ac:dyDescent="0.25">
      <c r="A70" s="2" t="s">
        <v>4</v>
      </c>
      <c r="B70" s="2" t="str">
        <f>MID(C70,1,4)</f>
        <v>RF21</v>
      </c>
      <c r="C70" s="3" t="s">
        <v>32</v>
      </c>
      <c r="D70" s="4" t="s">
        <v>162</v>
      </c>
      <c r="E70" s="2" t="s">
        <v>244</v>
      </c>
      <c r="F70" s="2" t="s">
        <v>192</v>
      </c>
      <c r="G70" s="2"/>
    </row>
    <row r="71" spans="1:7" ht="30" x14ac:dyDescent="0.25">
      <c r="A71" s="2" t="s">
        <v>4</v>
      </c>
      <c r="B71" s="2" t="str">
        <f>MID(C71,1,4)</f>
        <v>RF21</v>
      </c>
      <c r="C71" s="3" t="s">
        <v>32</v>
      </c>
      <c r="D71" s="4" t="s">
        <v>157</v>
      </c>
      <c r="E71" s="2" t="s">
        <v>72</v>
      </c>
      <c r="F71" s="2" t="s">
        <v>189</v>
      </c>
      <c r="G71" s="2"/>
    </row>
    <row r="72" spans="1:7" ht="30" x14ac:dyDescent="0.25">
      <c r="A72" s="2" t="s">
        <v>4</v>
      </c>
      <c r="B72" s="2" t="str">
        <f>MID(C72,1,4)</f>
        <v>RF21</v>
      </c>
      <c r="C72" s="3" t="s">
        <v>32</v>
      </c>
      <c r="D72" s="4" t="s">
        <v>158</v>
      </c>
      <c r="E72" s="2" t="s">
        <v>73</v>
      </c>
      <c r="F72" s="2" t="s">
        <v>189</v>
      </c>
      <c r="G72" s="2"/>
    </row>
    <row r="73" spans="1:7" ht="30" x14ac:dyDescent="0.25">
      <c r="A73" s="2" t="s">
        <v>4</v>
      </c>
      <c r="B73" s="2" t="str">
        <f>MID(C73,1,4)</f>
        <v>RF21</v>
      </c>
      <c r="C73" s="3" t="s">
        <v>32</v>
      </c>
      <c r="D73" s="4" t="s">
        <v>159</v>
      </c>
      <c r="E73" s="2" t="s">
        <v>223</v>
      </c>
      <c r="F73" s="2" t="s">
        <v>190</v>
      </c>
      <c r="G73" s="2"/>
    </row>
    <row r="74" spans="1:7" x14ac:dyDescent="0.25">
      <c r="A74" s="2" t="s">
        <v>5</v>
      </c>
      <c r="B74" s="2" t="str">
        <f>MID(C74,1,5)</f>
        <v>RNF01</v>
      </c>
      <c r="C74" s="3" t="s">
        <v>2</v>
      </c>
      <c r="D74" s="4" t="s">
        <v>165</v>
      </c>
      <c r="E74" s="2" t="s">
        <v>76</v>
      </c>
      <c r="F74" s="2" t="s">
        <v>189</v>
      </c>
      <c r="G74" s="2"/>
    </row>
    <row r="75" spans="1:7" x14ac:dyDescent="0.25">
      <c r="A75" s="2" t="s">
        <v>5</v>
      </c>
      <c r="B75" s="2" t="str">
        <f>MID(C75,1,5)</f>
        <v>RNF01</v>
      </c>
      <c r="C75" s="3" t="s">
        <v>2</v>
      </c>
      <c r="D75" s="4" t="s">
        <v>164</v>
      </c>
      <c r="E75" s="2" t="s">
        <v>224</v>
      </c>
      <c r="F75" s="2" t="s">
        <v>190</v>
      </c>
      <c r="G75" s="2"/>
    </row>
    <row r="76" spans="1:7" ht="30" x14ac:dyDescent="0.25">
      <c r="A76" s="2" t="s">
        <v>5</v>
      </c>
      <c r="B76" s="2" t="str">
        <f>MID(C76,1,5)</f>
        <v>RNF02</v>
      </c>
      <c r="C76" s="3" t="s">
        <v>33</v>
      </c>
      <c r="D76" s="4" t="s">
        <v>166</v>
      </c>
      <c r="E76" s="2" t="s">
        <v>77</v>
      </c>
      <c r="F76" s="2" t="s">
        <v>189</v>
      </c>
      <c r="G76" s="2"/>
    </row>
    <row r="77" spans="1:7" x14ac:dyDescent="0.25">
      <c r="A77" s="2" t="s">
        <v>5</v>
      </c>
      <c r="B77" s="2" t="str">
        <f>MID(C77,1,5)</f>
        <v>RNF03</v>
      </c>
      <c r="C77" s="3" t="s">
        <v>3</v>
      </c>
      <c r="D77" s="4" t="s">
        <v>167</v>
      </c>
      <c r="E77" s="2" t="s">
        <v>78</v>
      </c>
      <c r="F77" s="2" t="s">
        <v>196</v>
      </c>
      <c r="G77" s="2"/>
    </row>
    <row r="78" spans="1:7" ht="30" x14ac:dyDescent="0.25">
      <c r="A78" s="2" t="s">
        <v>5</v>
      </c>
      <c r="B78" s="2" t="str">
        <f>MID(C78,1,5)</f>
        <v>RNF04</v>
      </c>
      <c r="C78" s="3" t="s">
        <v>34</v>
      </c>
      <c r="D78" s="4" t="s">
        <v>168</v>
      </c>
      <c r="E78" s="2" t="s">
        <v>79</v>
      </c>
      <c r="F78" s="2" t="s">
        <v>189</v>
      </c>
      <c r="G78" s="2"/>
    </row>
    <row r="79" spans="1:7" ht="45" x14ac:dyDescent="0.25">
      <c r="A79" s="2" t="s">
        <v>5</v>
      </c>
      <c r="B79" s="2" t="str">
        <f>MID(C79,1,5)</f>
        <v>RNF05</v>
      </c>
      <c r="C79" s="3" t="s">
        <v>35</v>
      </c>
      <c r="D79" s="4" t="s">
        <v>169</v>
      </c>
      <c r="E79" s="2" t="s">
        <v>80</v>
      </c>
      <c r="F79" s="2" t="s">
        <v>194</v>
      </c>
      <c r="G79" s="2"/>
    </row>
    <row r="80" spans="1:7" ht="45" x14ac:dyDescent="0.25">
      <c r="A80" s="2" t="s">
        <v>5</v>
      </c>
      <c r="B80" s="2" t="str">
        <f>MID(C80,1,5)</f>
        <v>RNF05</v>
      </c>
      <c r="C80" s="3" t="s">
        <v>35</v>
      </c>
      <c r="D80" s="4" t="s">
        <v>170</v>
      </c>
      <c r="E80" s="2" t="s">
        <v>81</v>
      </c>
      <c r="F80" s="2" t="s">
        <v>194</v>
      </c>
      <c r="G80" s="2"/>
    </row>
    <row r="81" spans="1:7" ht="45" x14ac:dyDescent="0.25">
      <c r="A81" s="2" t="s">
        <v>5</v>
      </c>
      <c r="B81" s="2" t="str">
        <f>MID(C81,1,5)</f>
        <v>RNF05</v>
      </c>
      <c r="C81" s="3" t="s">
        <v>35</v>
      </c>
      <c r="D81" s="4" t="s">
        <v>171</v>
      </c>
      <c r="E81" s="2" t="s">
        <v>82</v>
      </c>
      <c r="F81" s="2" t="s">
        <v>194</v>
      </c>
      <c r="G81" s="2"/>
    </row>
    <row r="82" spans="1:7" ht="45" x14ac:dyDescent="0.25">
      <c r="A82" s="2" t="s">
        <v>5</v>
      </c>
      <c r="B82" s="2" t="str">
        <f>MID(C82,1,5)</f>
        <v>RNF05</v>
      </c>
      <c r="C82" s="3" t="s">
        <v>35</v>
      </c>
      <c r="D82" s="4" t="s">
        <v>172</v>
      </c>
      <c r="E82" s="2" t="s">
        <v>83</v>
      </c>
      <c r="F82" s="2" t="s">
        <v>194</v>
      </c>
      <c r="G82" s="2"/>
    </row>
    <row r="83" spans="1:7" ht="45" x14ac:dyDescent="0.25">
      <c r="A83" s="2" t="s">
        <v>5</v>
      </c>
      <c r="B83" s="2" t="str">
        <f>MID(C83,1,5)</f>
        <v>RNF05</v>
      </c>
      <c r="C83" s="3" t="s">
        <v>35</v>
      </c>
      <c r="D83" s="4" t="s">
        <v>173</v>
      </c>
      <c r="E83" s="2" t="s">
        <v>84</v>
      </c>
      <c r="F83" s="2" t="s">
        <v>194</v>
      </c>
      <c r="G83" s="2"/>
    </row>
    <row r="84" spans="1:7" ht="75" x14ac:dyDescent="0.25">
      <c r="A84" s="2" t="s">
        <v>5</v>
      </c>
      <c r="B84" s="2" t="str">
        <f>MID(C84,1,5)</f>
        <v>RNF06</v>
      </c>
      <c r="C84" s="3" t="s">
        <v>41</v>
      </c>
      <c r="D84" s="4" t="s">
        <v>175</v>
      </c>
      <c r="E84" s="2" t="s">
        <v>85</v>
      </c>
      <c r="F84" s="2" t="s">
        <v>194</v>
      </c>
      <c r="G84" s="2"/>
    </row>
    <row r="85" spans="1:7" ht="75" x14ac:dyDescent="0.25">
      <c r="A85" s="2" t="s">
        <v>5</v>
      </c>
      <c r="B85" s="2" t="str">
        <f>MID(C85,1,5)</f>
        <v>RNF06</v>
      </c>
      <c r="C85" s="3" t="s">
        <v>41</v>
      </c>
      <c r="D85" s="4" t="s">
        <v>176</v>
      </c>
      <c r="E85" s="2" t="s">
        <v>86</v>
      </c>
      <c r="F85" s="2" t="s">
        <v>194</v>
      </c>
      <c r="G85" s="2"/>
    </row>
    <row r="86" spans="1:7" ht="75" x14ac:dyDescent="0.25">
      <c r="A86" s="2" t="s">
        <v>5</v>
      </c>
      <c r="B86" s="2" t="str">
        <f>MID(C86,1,5)</f>
        <v>RNF06</v>
      </c>
      <c r="C86" s="3" t="s">
        <v>41</v>
      </c>
      <c r="D86" s="4" t="s">
        <v>177</v>
      </c>
      <c r="E86" s="2" t="s">
        <v>87</v>
      </c>
      <c r="F86" s="2" t="s">
        <v>194</v>
      </c>
      <c r="G86" s="2"/>
    </row>
    <row r="87" spans="1:7" ht="75" x14ac:dyDescent="0.25">
      <c r="A87" s="2" t="s">
        <v>5</v>
      </c>
      <c r="B87" s="2" t="str">
        <f>MID(C87,1,5)</f>
        <v>RNF06</v>
      </c>
      <c r="C87" s="3" t="s">
        <v>41</v>
      </c>
      <c r="D87" s="4" t="s">
        <v>178</v>
      </c>
      <c r="E87" s="2" t="s">
        <v>88</v>
      </c>
      <c r="F87" s="2" t="s">
        <v>194</v>
      </c>
      <c r="G87" s="2"/>
    </row>
    <row r="88" spans="1:7" ht="75" x14ac:dyDescent="0.25">
      <c r="A88" s="2" t="s">
        <v>5</v>
      </c>
      <c r="B88" s="2" t="str">
        <f>MID(C88,1,5)</f>
        <v>RNF06</v>
      </c>
      <c r="C88" s="3" t="s">
        <v>41</v>
      </c>
      <c r="D88" s="4" t="s">
        <v>179</v>
      </c>
      <c r="E88" s="2" t="s">
        <v>89</v>
      </c>
      <c r="F88" s="2" t="s">
        <v>194</v>
      </c>
      <c r="G88" s="2"/>
    </row>
    <row r="89" spans="1:7" ht="75" x14ac:dyDescent="0.25">
      <c r="A89" s="2" t="s">
        <v>5</v>
      </c>
      <c r="B89" s="2" t="str">
        <f>MID(C89,1,5)</f>
        <v>RNF06</v>
      </c>
      <c r="C89" s="3" t="s">
        <v>41</v>
      </c>
      <c r="D89" s="4" t="s">
        <v>174</v>
      </c>
      <c r="E89" s="2" t="s">
        <v>64</v>
      </c>
      <c r="F89" s="2" t="s">
        <v>192</v>
      </c>
      <c r="G89" s="2"/>
    </row>
    <row r="90" spans="1:7" ht="45" x14ac:dyDescent="0.25">
      <c r="A90" s="2" t="s">
        <v>5</v>
      </c>
      <c r="B90" s="2" t="str">
        <f>MID(C90,1,5)</f>
        <v>RNF07</v>
      </c>
      <c r="C90" s="3" t="s">
        <v>40</v>
      </c>
      <c r="D90" s="4" t="s">
        <v>180</v>
      </c>
      <c r="E90" s="2" t="s">
        <v>90</v>
      </c>
      <c r="F90" s="2" t="s">
        <v>195</v>
      </c>
      <c r="G90" s="2"/>
    </row>
    <row r="91" spans="1:7" ht="45" x14ac:dyDescent="0.25">
      <c r="A91" s="2" t="s">
        <v>5</v>
      </c>
      <c r="B91" s="2" t="str">
        <f>MID(C91,1,5)</f>
        <v>RNF07</v>
      </c>
      <c r="C91" s="3" t="s">
        <v>40</v>
      </c>
      <c r="D91" s="4" t="s">
        <v>181</v>
      </c>
      <c r="E91" s="2" t="s">
        <v>91</v>
      </c>
      <c r="F91" s="2" t="s">
        <v>195</v>
      </c>
      <c r="G91" s="2"/>
    </row>
    <row r="92" spans="1:7" ht="45" x14ac:dyDescent="0.25">
      <c r="A92" s="2" t="s">
        <v>5</v>
      </c>
      <c r="B92" s="2" t="str">
        <f>MID(C92,1,5)</f>
        <v>RNF07</v>
      </c>
      <c r="C92" s="3" t="s">
        <v>40</v>
      </c>
      <c r="D92" s="4" t="s">
        <v>182</v>
      </c>
      <c r="E92" s="2" t="s">
        <v>92</v>
      </c>
      <c r="F92" s="2" t="s">
        <v>195</v>
      </c>
      <c r="G92" s="2"/>
    </row>
    <row r="93" spans="1:7" ht="60" x14ac:dyDescent="0.25">
      <c r="A93" s="2" t="s">
        <v>5</v>
      </c>
      <c r="B93" s="2" t="str">
        <f>MID(C93,1,5)</f>
        <v>RNF08</v>
      </c>
      <c r="C93" s="3" t="s">
        <v>39</v>
      </c>
      <c r="D93" s="4" t="s">
        <v>183</v>
      </c>
      <c r="E93" s="2" t="s">
        <v>93</v>
      </c>
      <c r="F93" s="2" t="s">
        <v>193</v>
      </c>
      <c r="G93" s="2"/>
    </row>
    <row r="94" spans="1:7" ht="30" x14ac:dyDescent="0.25">
      <c r="A94" s="2" t="s">
        <v>7</v>
      </c>
      <c r="B94" s="2" t="str">
        <f>MID(C94,1,4)</f>
        <v>RP01</v>
      </c>
      <c r="C94" s="3" t="s">
        <v>38</v>
      </c>
      <c r="D94" s="4"/>
      <c r="E94" s="2" t="s">
        <v>94</v>
      </c>
      <c r="F94" s="2" t="s">
        <v>193</v>
      </c>
      <c r="G94" s="2"/>
    </row>
    <row r="95" spans="1:7" x14ac:dyDescent="0.25">
      <c r="A95" s="2" t="s">
        <v>7</v>
      </c>
      <c r="B95" s="2" t="str">
        <f>MID(C95,1,4)</f>
        <v>RP02</v>
      </c>
      <c r="C95" s="3" t="s">
        <v>6</v>
      </c>
      <c r="D95" s="4"/>
      <c r="E95" s="2" t="s">
        <v>94</v>
      </c>
      <c r="F95" s="2" t="s">
        <v>193</v>
      </c>
      <c r="G95" s="2"/>
    </row>
    <row r="96" spans="1:7" ht="45" x14ac:dyDescent="0.25">
      <c r="A96" s="2" t="s">
        <v>7</v>
      </c>
      <c r="B96" s="2" t="str">
        <f>MID(C96,1,4)</f>
        <v>RP03</v>
      </c>
      <c r="C96" s="3" t="s">
        <v>37</v>
      </c>
      <c r="D96" s="4"/>
      <c r="E96" s="2" t="s">
        <v>94</v>
      </c>
      <c r="F96" s="2" t="s">
        <v>193</v>
      </c>
      <c r="G96" s="2"/>
    </row>
    <row r="97" spans="1:7" ht="135" x14ac:dyDescent="0.25">
      <c r="A97" s="2" t="s">
        <v>7</v>
      </c>
      <c r="B97" s="2" t="str">
        <f>MID(C97,1,4)</f>
        <v>RP04</v>
      </c>
      <c r="C97" s="3" t="s">
        <v>36</v>
      </c>
      <c r="D97" s="4"/>
      <c r="E97" s="2" t="s">
        <v>94</v>
      </c>
      <c r="F97" s="2" t="s">
        <v>193</v>
      </c>
      <c r="G97" s="2"/>
    </row>
    <row r="98" spans="1:7" ht="45" x14ac:dyDescent="0.25">
      <c r="A98" s="2" t="s">
        <v>7</v>
      </c>
      <c r="B98" s="2" t="str">
        <f>MID(C98,1,4)</f>
        <v>RP05</v>
      </c>
      <c r="C98" s="3" t="s">
        <v>23</v>
      </c>
      <c r="D98" s="4"/>
      <c r="E98" s="2" t="s">
        <v>94</v>
      </c>
      <c r="F98" s="2" t="s">
        <v>193</v>
      </c>
      <c r="G98" s="2"/>
    </row>
    <row r="99" spans="1:7" ht="30" x14ac:dyDescent="0.25">
      <c r="A99" s="2" t="s">
        <v>7</v>
      </c>
      <c r="B99" s="2" t="str">
        <f>MID(C99,1,4)</f>
        <v>RP06</v>
      </c>
      <c r="C99" s="3" t="s">
        <v>22</v>
      </c>
      <c r="D99" s="4"/>
      <c r="E99" s="2" t="s">
        <v>94</v>
      </c>
      <c r="F99" s="2" t="s">
        <v>193</v>
      </c>
      <c r="G99" s="2"/>
    </row>
    <row r="100" spans="1:7" ht="45" x14ac:dyDescent="0.25">
      <c r="A100" s="2" t="s">
        <v>7</v>
      </c>
      <c r="B100" s="2" t="str">
        <f>MID(C100,1,4)</f>
        <v>RP07</v>
      </c>
      <c r="C100" s="3" t="s">
        <v>21</v>
      </c>
      <c r="D100" s="4"/>
      <c r="E100" s="2" t="s">
        <v>94</v>
      </c>
      <c r="F100" s="2" t="s">
        <v>193</v>
      </c>
      <c r="G100" s="2"/>
    </row>
    <row r="101" spans="1:7" ht="30" x14ac:dyDescent="0.25">
      <c r="A101" s="2" t="s">
        <v>7</v>
      </c>
      <c r="B101" s="2" t="str">
        <f>MID(C101,1,4)</f>
        <v>RP08</v>
      </c>
      <c r="C101" s="3" t="s">
        <v>20</v>
      </c>
      <c r="D101" s="4"/>
      <c r="E101" s="2" t="s">
        <v>94</v>
      </c>
      <c r="F101" s="2" t="s">
        <v>193</v>
      </c>
      <c r="G101" s="2"/>
    </row>
    <row r="102" spans="1:7" ht="45" x14ac:dyDescent="0.25">
      <c r="A102" s="2" t="s">
        <v>7</v>
      </c>
      <c r="B102" s="2" t="str">
        <f>MID(C102,1,4)</f>
        <v>RP09</v>
      </c>
      <c r="C102" s="3" t="s">
        <v>19</v>
      </c>
      <c r="D102" s="4"/>
      <c r="E102" s="2" t="s">
        <v>94</v>
      </c>
      <c r="F102" s="2" t="s">
        <v>193</v>
      </c>
      <c r="G102" s="2"/>
    </row>
  </sheetData>
  <autoFilter ref="A1:G102" xr:uid="{A6DC3DAE-34F1-4C69-96A4-B17FC4461521}">
    <sortState xmlns:xlrd2="http://schemas.microsoft.com/office/spreadsheetml/2017/richdata2" ref="A2:G102">
      <sortCondition ref="C1:C102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8CF2E-B973-47AF-973A-E04F537DA0D8}">
  <dimension ref="A1:F36"/>
  <sheetViews>
    <sheetView workbookViewId="0">
      <selection activeCell="C8" sqref="C8"/>
    </sheetView>
  </sheetViews>
  <sheetFormatPr defaultRowHeight="15" x14ac:dyDescent="0.25"/>
  <cols>
    <col min="1" max="1" width="9.85546875" bestFit="1" customWidth="1"/>
    <col min="2" max="2" width="5.140625" bestFit="1" customWidth="1"/>
    <col min="3" max="3" width="85.85546875" style="1" customWidth="1"/>
    <col min="4" max="4" width="42.85546875" bestFit="1" customWidth="1"/>
    <col min="5" max="5" width="15.85546875" bestFit="1" customWidth="1"/>
    <col min="6" max="6" width="12.5703125" bestFit="1" customWidth="1"/>
  </cols>
  <sheetData>
    <row r="1" spans="1:6" x14ac:dyDescent="0.25">
      <c r="A1" s="5" t="s">
        <v>42</v>
      </c>
      <c r="B1" s="5" t="s">
        <v>43</v>
      </c>
      <c r="C1" s="6" t="s">
        <v>44</v>
      </c>
      <c r="D1" s="5" t="s">
        <v>188</v>
      </c>
      <c r="E1" s="5" t="s">
        <v>198</v>
      </c>
      <c r="F1" s="5" t="s">
        <v>213</v>
      </c>
    </row>
    <row r="2" spans="1:6" ht="30" x14ac:dyDescent="0.25">
      <c r="A2" s="2" t="s">
        <v>4</v>
      </c>
      <c r="B2" s="2" t="s">
        <v>8</v>
      </c>
      <c r="C2" s="3" t="s">
        <v>9</v>
      </c>
      <c r="D2" s="2" t="s">
        <v>226</v>
      </c>
      <c r="E2" s="2" t="s">
        <v>191</v>
      </c>
      <c r="F2" s="2"/>
    </row>
    <row r="3" spans="1:6" ht="30" x14ac:dyDescent="0.25">
      <c r="A3" s="2" t="s">
        <v>4</v>
      </c>
      <c r="B3" s="2" t="s">
        <v>8</v>
      </c>
      <c r="C3" s="3" t="s">
        <v>9</v>
      </c>
      <c r="D3" s="2" t="s">
        <v>235</v>
      </c>
      <c r="E3" s="2" t="s">
        <v>192</v>
      </c>
      <c r="F3" s="2"/>
    </row>
    <row r="4" spans="1:6" ht="30" x14ac:dyDescent="0.25">
      <c r="A4" s="2" t="s">
        <v>4</v>
      </c>
      <c r="B4" s="2" t="s">
        <v>8</v>
      </c>
      <c r="C4" s="3" t="s">
        <v>9</v>
      </c>
      <c r="D4" s="2" t="s">
        <v>214</v>
      </c>
      <c r="E4" s="2" t="s">
        <v>190</v>
      </c>
      <c r="F4" s="2" t="s">
        <v>208</v>
      </c>
    </row>
    <row r="5" spans="1:6" ht="30" x14ac:dyDescent="0.25">
      <c r="A5" s="2" t="s">
        <v>4</v>
      </c>
      <c r="B5" s="2" t="s">
        <v>184</v>
      </c>
      <c r="C5" s="3" t="s">
        <v>10</v>
      </c>
      <c r="D5" s="2" t="s">
        <v>225</v>
      </c>
      <c r="E5" s="2" t="s">
        <v>191</v>
      </c>
      <c r="F5" s="2"/>
    </row>
    <row r="6" spans="1:6" ht="30" x14ac:dyDescent="0.25">
      <c r="A6" s="2" t="s">
        <v>4</v>
      </c>
      <c r="B6" s="2" t="s">
        <v>184</v>
      </c>
      <c r="C6" s="3" t="s">
        <v>10</v>
      </c>
      <c r="D6" s="2" t="s">
        <v>236</v>
      </c>
      <c r="E6" s="2" t="s">
        <v>192</v>
      </c>
      <c r="F6" s="2"/>
    </row>
    <row r="7" spans="1:6" ht="30" x14ac:dyDescent="0.25">
      <c r="A7" s="2" t="s">
        <v>4</v>
      </c>
      <c r="B7" s="2" t="s">
        <v>184</v>
      </c>
      <c r="C7" s="3" t="s">
        <v>10</v>
      </c>
      <c r="D7" s="2" t="s">
        <v>215</v>
      </c>
      <c r="E7" s="2" t="s">
        <v>190</v>
      </c>
      <c r="F7" s="2"/>
    </row>
    <row r="8" spans="1:6" ht="30" x14ac:dyDescent="0.25">
      <c r="A8" s="2" t="s">
        <v>4</v>
      </c>
      <c r="B8" s="2" t="s">
        <v>185</v>
      </c>
      <c r="C8" s="3" t="s">
        <v>11</v>
      </c>
      <c r="D8" s="2" t="s">
        <v>227</v>
      </c>
      <c r="E8" s="2" t="s">
        <v>191</v>
      </c>
      <c r="F8" s="2"/>
    </row>
    <row r="9" spans="1:6" ht="30" x14ac:dyDescent="0.25">
      <c r="A9" s="2" t="s">
        <v>4</v>
      </c>
      <c r="B9" s="2" t="s">
        <v>185</v>
      </c>
      <c r="C9" s="3" t="s">
        <v>11</v>
      </c>
      <c r="D9" s="2" t="s">
        <v>237</v>
      </c>
      <c r="E9" s="2" t="s">
        <v>192</v>
      </c>
      <c r="F9" s="2"/>
    </row>
    <row r="10" spans="1:6" ht="30" x14ac:dyDescent="0.25">
      <c r="A10" s="2" t="s">
        <v>4</v>
      </c>
      <c r="B10" s="2" t="s">
        <v>185</v>
      </c>
      <c r="C10" s="3" t="s">
        <v>11</v>
      </c>
      <c r="D10" s="2" t="s">
        <v>216</v>
      </c>
      <c r="E10" s="2" t="s">
        <v>190</v>
      </c>
      <c r="F10" s="2"/>
    </row>
    <row r="11" spans="1:6" x14ac:dyDescent="0.25">
      <c r="A11" s="2" t="s">
        <v>4</v>
      </c>
      <c r="B11" s="2" t="s">
        <v>186</v>
      </c>
      <c r="C11" s="3" t="s">
        <v>0</v>
      </c>
      <c r="D11" s="2" t="s">
        <v>228</v>
      </c>
      <c r="E11" s="2" t="s">
        <v>191</v>
      </c>
      <c r="F11" s="2"/>
    </row>
    <row r="12" spans="1:6" x14ac:dyDescent="0.25">
      <c r="A12" s="2" t="s">
        <v>4</v>
      </c>
      <c r="B12" s="2" t="s">
        <v>186</v>
      </c>
      <c r="C12" s="3" t="s">
        <v>0</v>
      </c>
      <c r="D12" s="2" t="s">
        <v>238</v>
      </c>
      <c r="E12" s="2" t="s">
        <v>192</v>
      </c>
      <c r="F12" s="2"/>
    </row>
    <row r="13" spans="1:6" x14ac:dyDescent="0.25">
      <c r="A13" s="2" t="s">
        <v>4</v>
      </c>
      <c r="B13" s="2" t="s">
        <v>186</v>
      </c>
      <c r="C13" s="3" t="s">
        <v>0</v>
      </c>
      <c r="D13" s="2" t="s">
        <v>217</v>
      </c>
      <c r="E13" s="2" t="s">
        <v>190</v>
      </c>
      <c r="F13" s="2"/>
    </row>
    <row r="14" spans="1:6" ht="30" x14ac:dyDescent="0.25">
      <c r="A14" s="2" t="s">
        <v>4</v>
      </c>
      <c r="B14" s="2" t="s">
        <v>245</v>
      </c>
      <c r="C14" s="3" t="s">
        <v>12</v>
      </c>
      <c r="D14" s="2" t="s">
        <v>229</v>
      </c>
      <c r="E14" s="2" t="s">
        <v>191</v>
      </c>
      <c r="F14" s="2"/>
    </row>
    <row r="15" spans="1:6" ht="30" x14ac:dyDescent="0.25">
      <c r="A15" s="2" t="s">
        <v>4</v>
      </c>
      <c r="B15" s="2" t="s">
        <v>245</v>
      </c>
      <c r="C15" s="3" t="s">
        <v>12</v>
      </c>
      <c r="D15" s="2" t="s">
        <v>239</v>
      </c>
      <c r="E15" s="2" t="s">
        <v>192</v>
      </c>
      <c r="F15" s="2"/>
    </row>
    <row r="16" spans="1:6" ht="30" x14ac:dyDescent="0.25">
      <c r="A16" s="2" t="s">
        <v>4</v>
      </c>
      <c r="B16" s="2" t="s">
        <v>245</v>
      </c>
      <c r="C16" s="3" t="s">
        <v>12</v>
      </c>
      <c r="D16" s="2" t="s">
        <v>218</v>
      </c>
      <c r="E16" s="2" t="s">
        <v>190</v>
      </c>
      <c r="F16" s="2"/>
    </row>
    <row r="17" spans="1:6" ht="30" x14ac:dyDescent="0.25">
      <c r="A17" s="2" t="s">
        <v>4</v>
      </c>
      <c r="B17" s="2" t="s">
        <v>246</v>
      </c>
      <c r="C17" s="3" t="s">
        <v>13</v>
      </c>
      <c r="D17" s="2" t="s">
        <v>229</v>
      </c>
      <c r="E17" s="2" t="s">
        <v>191</v>
      </c>
      <c r="F17" s="2"/>
    </row>
    <row r="18" spans="1:6" ht="30" x14ac:dyDescent="0.25">
      <c r="A18" s="2" t="s">
        <v>4</v>
      </c>
      <c r="B18" s="2" t="s">
        <v>246</v>
      </c>
      <c r="C18" s="3" t="s">
        <v>13</v>
      </c>
      <c r="D18" s="2" t="s">
        <v>239</v>
      </c>
      <c r="E18" s="2" t="s">
        <v>192</v>
      </c>
      <c r="F18" s="2"/>
    </row>
    <row r="19" spans="1:6" ht="45" x14ac:dyDescent="0.25">
      <c r="A19" s="2" t="s">
        <v>4</v>
      </c>
      <c r="B19" s="2" t="s">
        <v>247</v>
      </c>
      <c r="C19" s="3" t="s">
        <v>14</v>
      </c>
      <c r="D19" s="2" t="s">
        <v>230</v>
      </c>
      <c r="E19" s="2" t="s">
        <v>191</v>
      </c>
      <c r="F19" s="2"/>
    </row>
    <row r="20" spans="1:6" ht="45" x14ac:dyDescent="0.25">
      <c r="A20" s="2" t="s">
        <v>4</v>
      </c>
      <c r="B20" s="2" t="s">
        <v>247</v>
      </c>
      <c r="C20" s="3" t="s">
        <v>14</v>
      </c>
      <c r="D20" s="2" t="s">
        <v>240</v>
      </c>
      <c r="E20" s="2" t="s">
        <v>192</v>
      </c>
      <c r="F20" s="2"/>
    </row>
    <row r="21" spans="1:6" ht="45" x14ac:dyDescent="0.25">
      <c r="A21" s="2" t="s">
        <v>4</v>
      </c>
      <c r="B21" s="2" t="s">
        <v>247</v>
      </c>
      <c r="C21" s="3" t="s">
        <v>14</v>
      </c>
      <c r="D21" s="2" t="s">
        <v>219</v>
      </c>
      <c r="E21" s="2" t="s">
        <v>190</v>
      </c>
      <c r="F21" s="2"/>
    </row>
    <row r="22" spans="1:6" ht="30" x14ac:dyDescent="0.25">
      <c r="A22" s="2" t="s">
        <v>4</v>
      </c>
      <c r="B22" s="2" t="s">
        <v>248</v>
      </c>
      <c r="C22" s="3" t="s">
        <v>16</v>
      </c>
      <c r="D22" s="2" t="s">
        <v>231</v>
      </c>
      <c r="E22" s="2" t="s">
        <v>191</v>
      </c>
      <c r="F22" s="2"/>
    </row>
    <row r="23" spans="1:6" ht="30" x14ac:dyDescent="0.25">
      <c r="A23" s="2" t="s">
        <v>4</v>
      </c>
      <c r="B23" s="2" t="s">
        <v>248</v>
      </c>
      <c r="C23" s="3" t="s">
        <v>16</v>
      </c>
      <c r="D23" s="2" t="s">
        <v>241</v>
      </c>
      <c r="E23" s="2" t="s">
        <v>192</v>
      </c>
      <c r="F23" s="2"/>
    </row>
    <row r="24" spans="1:6" ht="30" x14ac:dyDescent="0.25">
      <c r="A24" s="2" t="s">
        <v>4</v>
      </c>
      <c r="B24" s="2" t="s">
        <v>248</v>
      </c>
      <c r="C24" s="3" t="s">
        <v>16</v>
      </c>
      <c r="D24" s="2" t="s">
        <v>220</v>
      </c>
      <c r="E24" s="2" t="s">
        <v>190</v>
      </c>
      <c r="F24" s="2"/>
    </row>
    <row r="25" spans="1:6" ht="30" x14ac:dyDescent="0.25">
      <c r="A25" s="2" t="s">
        <v>4</v>
      </c>
      <c r="B25" s="2" t="s">
        <v>249</v>
      </c>
      <c r="C25" s="3" t="s">
        <v>27</v>
      </c>
      <c r="D25" s="2" t="s">
        <v>232</v>
      </c>
      <c r="E25" s="2" t="s">
        <v>191</v>
      </c>
      <c r="F25" s="2"/>
    </row>
    <row r="26" spans="1:6" ht="30" x14ac:dyDescent="0.25">
      <c r="A26" s="2" t="s">
        <v>4</v>
      </c>
      <c r="B26" s="2" t="s">
        <v>249</v>
      </c>
      <c r="C26" s="3" t="s">
        <v>27</v>
      </c>
      <c r="D26" s="2" t="s">
        <v>242</v>
      </c>
      <c r="E26" s="2" t="s">
        <v>192</v>
      </c>
      <c r="F26" s="2"/>
    </row>
    <row r="27" spans="1:6" ht="30" x14ac:dyDescent="0.25">
      <c r="A27" s="2" t="s">
        <v>4</v>
      </c>
      <c r="B27" s="2" t="s">
        <v>249</v>
      </c>
      <c r="C27" s="3" t="s">
        <v>27</v>
      </c>
      <c r="D27" s="2" t="s">
        <v>221</v>
      </c>
      <c r="E27" s="2" t="s">
        <v>190</v>
      </c>
      <c r="F27" s="2"/>
    </row>
    <row r="28" spans="1:6" ht="30" x14ac:dyDescent="0.25">
      <c r="A28" s="2" t="s">
        <v>4</v>
      </c>
      <c r="B28" s="2" t="s">
        <v>250</v>
      </c>
      <c r="C28" s="3" t="s">
        <v>28</v>
      </c>
      <c r="D28" s="2" t="s">
        <v>233</v>
      </c>
      <c r="E28" s="2" t="s">
        <v>191</v>
      </c>
      <c r="F28" s="2"/>
    </row>
    <row r="29" spans="1:6" ht="30" x14ac:dyDescent="0.25">
      <c r="A29" s="2" t="s">
        <v>4</v>
      </c>
      <c r="B29" s="2" t="s">
        <v>250</v>
      </c>
      <c r="C29" s="3" t="s">
        <v>28</v>
      </c>
      <c r="D29" s="2" t="s">
        <v>243</v>
      </c>
      <c r="E29" s="2" t="s">
        <v>192</v>
      </c>
      <c r="F29" s="2"/>
    </row>
    <row r="30" spans="1:6" ht="30" x14ac:dyDescent="0.25">
      <c r="A30" s="2" t="s">
        <v>4</v>
      </c>
      <c r="B30" s="2" t="s">
        <v>250</v>
      </c>
      <c r="C30" s="3" t="s">
        <v>28</v>
      </c>
      <c r="D30" s="2" t="s">
        <v>222</v>
      </c>
      <c r="E30" s="2" t="s">
        <v>190</v>
      </c>
      <c r="F30" s="2"/>
    </row>
    <row r="31" spans="1:6" ht="120" x14ac:dyDescent="0.25">
      <c r="A31" s="2" t="s">
        <v>4</v>
      </c>
      <c r="B31" s="2" t="s">
        <v>251</v>
      </c>
      <c r="C31" s="3" t="s">
        <v>29</v>
      </c>
      <c r="D31" s="2" t="s">
        <v>233</v>
      </c>
      <c r="E31" s="2" t="s">
        <v>191</v>
      </c>
      <c r="F31" s="2"/>
    </row>
    <row r="32" spans="1:6" ht="120" x14ac:dyDescent="0.25">
      <c r="A32" s="2" t="s">
        <v>4</v>
      </c>
      <c r="B32" s="2" t="s">
        <v>251</v>
      </c>
      <c r="C32" s="3" t="s">
        <v>29</v>
      </c>
      <c r="D32" s="2" t="s">
        <v>243</v>
      </c>
      <c r="E32" s="2" t="s">
        <v>192</v>
      </c>
      <c r="F32" s="2"/>
    </row>
    <row r="33" spans="1:6" ht="120" x14ac:dyDescent="0.25">
      <c r="A33" s="2" t="s">
        <v>4</v>
      </c>
      <c r="B33" s="2" t="s">
        <v>251</v>
      </c>
      <c r="C33" s="3" t="s">
        <v>29</v>
      </c>
      <c r="D33" s="2" t="s">
        <v>222</v>
      </c>
      <c r="E33" s="2" t="s">
        <v>190</v>
      </c>
      <c r="F33" s="2"/>
    </row>
    <row r="34" spans="1:6" ht="30" x14ac:dyDescent="0.25">
      <c r="A34" s="2" t="s">
        <v>4</v>
      </c>
      <c r="B34" s="2" t="s">
        <v>252</v>
      </c>
      <c r="C34" s="3" t="s">
        <v>32</v>
      </c>
      <c r="D34" s="2" t="s">
        <v>234</v>
      </c>
      <c r="E34" s="2" t="s">
        <v>191</v>
      </c>
      <c r="F34" s="2"/>
    </row>
    <row r="35" spans="1:6" ht="30" x14ac:dyDescent="0.25">
      <c r="A35" s="2" t="s">
        <v>4</v>
      </c>
      <c r="B35" s="2" t="s">
        <v>252</v>
      </c>
      <c r="C35" s="3" t="s">
        <v>32</v>
      </c>
      <c r="D35" s="2" t="s">
        <v>244</v>
      </c>
      <c r="E35" s="2" t="s">
        <v>192</v>
      </c>
      <c r="F35" s="2"/>
    </row>
    <row r="36" spans="1:6" ht="30" x14ac:dyDescent="0.25">
      <c r="A36" s="2" t="s">
        <v>4</v>
      </c>
      <c r="B36" s="2" t="s">
        <v>252</v>
      </c>
      <c r="C36" s="3" t="s">
        <v>32</v>
      </c>
      <c r="D36" s="2" t="s">
        <v>223</v>
      </c>
      <c r="E36" s="2" t="s">
        <v>190</v>
      </c>
      <c r="F3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4117E-FC54-42D6-A192-03C5E5B42598}">
  <dimension ref="A1:B9"/>
  <sheetViews>
    <sheetView workbookViewId="0">
      <selection activeCell="C2" sqref="C2"/>
    </sheetView>
  </sheetViews>
  <sheetFormatPr defaultRowHeight="15" x14ac:dyDescent="0.25"/>
  <cols>
    <col min="1" max="1" width="36.5703125" bestFit="1" customWidth="1"/>
    <col min="2" max="2" width="13.42578125" bestFit="1" customWidth="1"/>
  </cols>
  <sheetData>
    <row r="1" spans="1:2" x14ac:dyDescent="0.25">
      <c r="A1" t="s">
        <v>199</v>
      </c>
    </row>
    <row r="2" spans="1:2" x14ac:dyDescent="0.25">
      <c r="A2" t="s">
        <v>200</v>
      </c>
      <c r="B2" t="s">
        <v>201</v>
      </c>
    </row>
    <row r="3" spans="1:2" x14ac:dyDescent="0.25">
      <c r="A3" t="s">
        <v>202</v>
      </c>
      <c r="B3" t="s">
        <v>203</v>
      </c>
    </row>
    <row r="4" spans="1:2" x14ac:dyDescent="0.25">
      <c r="A4" t="s">
        <v>204</v>
      </c>
      <c r="B4" t="s">
        <v>205</v>
      </c>
    </row>
    <row r="5" spans="1:2" x14ac:dyDescent="0.25">
      <c r="A5" t="s">
        <v>206</v>
      </c>
      <c r="B5" t="s">
        <v>205</v>
      </c>
    </row>
    <row r="6" spans="1:2" x14ac:dyDescent="0.25">
      <c r="A6" t="s">
        <v>207</v>
      </c>
      <c r="B6" t="s">
        <v>205</v>
      </c>
    </row>
    <row r="7" spans="1:2" x14ac:dyDescent="0.25">
      <c r="A7" t="s">
        <v>209</v>
      </c>
      <c r="B7" t="s">
        <v>210</v>
      </c>
    </row>
    <row r="8" spans="1:2" x14ac:dyDescent="0.25">
      <c r="A8" t="s">
        <v>211</v>
      </c>
      <c r="B8" t="s">
        <v>205</v>
      </c>
    </row>
    <row r="9" spans="1:2" x14ac:dyDescent="0.25">
      <c r="A9" t="s">
        <v>212</v>
      </c>
      <c r="B9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Backlog</vt:lpstr>
      <vt:lpstr>Sprint01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Fukuoka</dc:creator>
  <cp:lastModifiedBy>LUCAS VILAS BOAS FUKUOKA</cp:lastModifiedBy>
  <dcterms:created xsi:type="dcterms:W3CDTF">2026-09-28T22:57:34Z</dcterms:created>
  <dcterms:modified xsi:type="dcterms:W3CDTF">2026-10-22T12:14:24Z</dcterms:modified>
</cp:coreProperties>
</file>